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1" codeName="{00000000-0000-0000-0000-000000000000}"/>
  <workbookPr codeName="ThisWorkbook" defaultThemeVersion="166925"/>
  <mc:AlternateContent xmlns:mc="http://schemas.openxmlformats.org/markup-compatibility/2006">
    <mc:Choice Requires="x15">
      <x15ac:absPath xmlns:x15ac="http://schemas.microsoft.com/office/spreadsheetml/2010/11/ac" url="C:\Users\605012770\Desktop\IH TRA 23-3-2021\"/>
    </mc:Choice>
  </mc:AlternateContent>
  <xr:revisionPtr revIDLastSave="0" documentId="13_ncr:1_{89B74129-6822-4CBC-8BD1-53FC2BB60A6D}" xr6:coauthVersionLast="47" xr6:coauthVersionMax="47" xr10:uidLastSave="{00000000-0000-0000-0000-000000000000}"/>
  <bookViews>
    <workbookView xWindow="4080" yWindow="1200" windowWidth="21015" windowHeight="13305" xr2:uid="{12A20157-04E8-41C7-A0CE-DD1E97B87015}"/>
  </bookViews>
  <sheets>
    <sheet name="TRA_English" sheetId="1" r:id="rId1"/>
    <sheet name="Risk Matrix" sheetId="2" r:id="rId2"/>
    <sheet name="Severity Guidance" sheetId="4" r:id="rId3"/>
    <sheet name="Risk Calculator_Guidance" sheetId="3" r:id="rId4"/>
    <sheet name="Note" sheetId="5" r:id="rId5"/>
    <sheet name="Hazard_Defense_Code" sheetId="6" r:id="rId6"/>
  </sheets>
  <externalReferences>
    <externalReference r:id="rId7"/>
    <externalReference r:id="rId8"/>
  </externalReferences>
  <definedNames>
    <definedName name="_xlnm._FilterDatabase" localSheetId="5" hidden="1">Hazard_Defense_Code!$A$1:$F$135</definedName>
    <definedName name="ALARP" localSheetId="5">'[1]Data - Project'!#REF!</definedName>
    <definedName name="ALARP">'[1]Data - Project'!#REF!</definedName>
    <definedName name="FormExp">'[1]Data - HRA'!$A$9:$A$17</definedName>
    <definedName name="Graph_Options" localSheetId="5">#REF!</definedName>
    <definedName name="Graph_Options">#REF!</definedName>
    <definedName name="HazSerNo">OFFSET('[1]Project HHI(Example)'!$A$3,0,0,COUNT('[1]Project HHI(Example)'!$A:$A),1)</definedName>
    <definedName name="HHG">'[1]Data - HRA'!$C$2:$C$6</definedName>
    <definedName name="List" localSheetId="5">#REF!</definedName>
    <definedName name="List">#REF!</definedName>
    <definedName name="NA" localSheetId="5">'[2]Weekly Site Inspection'!#REF!,'[2]Weekly Site Inspection'!$I$13:$I$17,'[2]Weekly Site Inspection'!$I$34:$I$95</definedName>
    <definedName name="NA">'[2]Weekly Site Inspection'!#REF!,'[2]Weekly Site Inspection'!$I$13:$I$17,'[2]Weekly Site Inspection'!$I$34:$I$95</definedName>
    <definedName name="NC" localSheetId="5">'[2]Weekly Site Inspection'!#REF!,'[2]Weekly Site Inspection'!$H$13:$H$17,'[2]Weekly Site Inspection'!$H$34:$H$95</definedName>
    <definedName name="NC">'[2]Weekly Site Inspection'!#REF!,'[2]Weekly Site Inspection'!$H$13:$H$17,'[2]Weekly Site Inspection'!$H$34:$H$95</definedName>
    <definedName name="_xlnm.Print_Area" localSheetId="2">'Severity Guidance'!$B$2:$H$7</definedName>
    <definedName name="_xlnm.Print_Area" localSheetId="0">TRA_English!$A$1:$Y$33</definedName>
    <definedName name="RAM" localSheetId="5">#REF!</definedName>
    <definedName name="RAM">#REF!</definedName>
    <definedName name="RouteExp">'[1]Data - HRA'!$A$2:$A$7</definedName>
    <definedName name="X" localSheetId="5">#REF!</definedName>
    <definedName name="X">#REF!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4" i="6" l="1"/>
  <c r="D58" i="6" l="1"/>
  <c r="D57" i="6"/>
  <c r="D56" i="6"/>
  <c r="D55" i="6"/>
  <c r="D54" i="6"/>
  <c r="D53" i="6"/>
  <c r="D52" i="6"/>
  <c r="D51" i="6"/>
  <c r="D50" i="6"/>
  <c r="D49" i="6"/>
  <c r="D48" i="6"/>
  <c r="D47" i="6"/>
  <c r="D46" i="6"/>
  <c r="D45" i="6"/>
  <c r="D44" i="6"/>
  <c r="D43" i="6"/>
  <c r="D42" i="6"/>
  <c r="D41" i="6"/>
  <c r="D40" i="6"/>
  <c r="D39" i="6"/>
  <c r="D38" i="6"/>
  <c r="D37" i="6"/>
  <c r="D36" i="6"/>
  <c r="D35" i="6"/>
  <c r="D34" i="6"/>
  <c r="D33" i="6"/>
  <c r="D32" i="6"/>
  <c r="D31" i="6"/>
  <c r="D30" i="6"/>
  <c r="D29" i="6"/>
  <c r="D28" i="6"/>
  <c r="D26" i="6"/>
  <c r="D25" i="6"/>
  <c r="D23" i="6"/>
  <c r="D22" i="6"/>
  <c r="D21" i="6"/>
  <c r="D20" i="6"/>
  <c r="D19" i="6"/>
  <c r="D18" i="6"/>
  <c r="D17" i="6"/>
  <c r="D16" i="6"/>
  <c r="D15" i="6"/>
  <c r="D14" i="6"/>
  <c r="D13" i="6"/>
  <c r="D12" i="6"/>
  <c r="D11" i="6"/>
  <c r="D10" i="6"/>
  <c r="D9" i="6"/>
  <c r="D8" i="6"/>
  <c r="D7" i="6"/>
  <c r="D6" i="6"/>
  <c r="D5" i="6"/>
  <c r="D4" i="6"/>
  <c r="D3" i="6"/>
  <c r="D2" i="6"/>
  <c r="U6" i="1" l="1"/>
  <c r="O28" i="1" l="1"/>
  <c r="O27" i="1"/>
  <c r="O26" i="1"/>
  <c r="O25" i="1"/>
  <c r="O24" i="1"/>
  <c r="O23" i="1"/>
  <c r="O22" i="1"/>
  <c r="O21" i="1"/>
  <c r="O20" i="1"/>
  <c r="O19" i="1"/>
  <c r="H28" i="1"/>
  <c r="H27" i="1"/>
  <c r="H26" i="1"/>
  <c r="H25" i="1"/>
  <c r="H24" i="1"/>
  <c r="H23" i="1"/>
  <c r="H22" i="1"/>
  <c r="H21" i="1"/>
  <c r="H20" i="1"/>
  <c r="H19" i="1"/>
  <c r="C12" i="3" l="1"/>
  <c r="C13" i="3"/>
  <c r="D72" i="6" l="1"/>
  <c r="K28" i="1" l="1"/>
  <c r="K25" i="1" l="1"/>
  <c r="K23" i="1"/>
  <c r="K22" i="1"/>
  <c r="K20" i="1" l="1"/>
  <c r="K21" i="1"/>
  <c r="K24" i="1"/>
  <c r="K26" i="1"/>
  <c r="K27" i="1"/>
  <c r="C15" i="3" l="1"/>
  <c r="C14" i="3"/>
  <c r="D6" i="3"/>
  <c r="D5" i="3"/>
  <c r="D4" i="3"/>
  <c r="D3" i="3"/>
  <c r="C6" i="3"/>
  <c r="C5" i="3"/>
  <c r="C4" i="3"/>
  <c r="C3" i="3"/>
  <c r="K19" i="1" l="1"/>
  <c r="E6" i="3" l="1"/>
  <c r="C7" i="3"/>
  <c r="D8" i="3"/>
  <c r="E5" i="3"/>
  <c r="E3" i="3"/>
  <c r="C8" i="3"/>
  <c r="D7" i="3"/>
  <c r="E4" i="3"/>
  <c r="D9" i="3" l="1"/>
  <c r="E8" i="3"/>
  <c r="C9" i="3"/>
  <c r="E7" i="3"/>
  <c r="E9"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tc={F8B3473E-1D08-4DC0-B648-05AEC490E959}</author>
  </authors>
  <commentList>
    <comment ref="A5" authorId="0" shapeId="0" xr:uid="{F8B3473E-1D08-4DC0-B648-05AEC490E959}">
      <text>
        <t>[Threaded comment]
Your version of Excel allows you to read this threaded comment; however, any edits to it will get removed if the file is opened in a newer version of Excel. Learn more: https://go.microsoft.com/fwlink/?linkid=870924
Comment:
    Need to add Acute and Chronic eg Asbestos Acute 1 +2  = 2 Chronic  4 + 4 =7</t>
      </text>
    </comment>
  </commentList>
</comments>
</file>

<file path=xl/sharedStrings.xml><?xml version="1.0" encoding="utf-8"?>
<sst xmlns="http://schemas.openxmlformats.org/spreadsheetml/2006/main" count="463" uniqueCount="407">
  <si>
    <t>TITLE:</t>
  </si>
  <si>
    <t>DOCUMENT NUMBER:</t>
  </si>
  <si>
    <t>TASK RISK ASSESSMENT</t>
  </si>
  <si>
    <r>
      <rPr>
        <sz val="11"/>
        <color theme="1"/>
        <rFont val="Montserrat SemiBold"/>
      </rPr>
      <t>FC-GL-EHS-MAN-0501-F3</t>
    </r>
    <r>
      <rPr>
        <sz val="10"/>
        <color theme="1"/>
        <rFont val="Montserrat SemiBold"/>
      </rPr>
      <t xml:space="preserve"> </t>
    </r>
    <r>
      <rPr>
        <sz val="8"/>
        <color theme="1"/>
        <rFont val="Montserrat SemiBold"/>
      </rPr>
      <t>(Tab Q)</t>
    </r>
  </si>
  <si>
    <t>REGION:</t>
  </si>
  <si>
    <t>ISSUE:</t>
  </si>
  <si>
    <t>DATE:</t>
  </si>
  <si>
    <t>PAGE:</t>
  </si>
  <si>
    <t>GLOBAL</t>
  </si>
  <si>
    <t>1 of 1</t>
  </si>
  <si>
    <t>WORK ACTIVITY:</t>
  </si>
  <si>
    <t>PROCEDURE REFERENCE NUMBER:</t>
  </si>
  <si>
    <t>Iss / Rev</t>
  </si>
  <si>
    <t>TRA No.</t>
  </si>
  <si>
    <t>Iss / Rev:</t>
  </si>
  <si>
    <t>Date:</t>
  </si>
  <si>
    <t>Tasks with high noise levels</t>
  </si>
  <si>
    <t>FC-GL-EHS-SAF-0801 Industrial Hygiene</t>
  </si>
  <si>
    <t>IH TRA - IH2</t>
  </si>
  <si>
    <t>PERSONNEL IMPACTED (Tick all applicable)</t>
  </si>
  <si>
    <t xml:space="preserve">                              People in the vicinity </t>
  </si>
  <si>
    <t>Severity</t>
  </si>
  <si>
    <t>Frequency</t>
  </si>
  <si>
    <t>SEVERITY</t>
  </si>
  <si>
    <t>Risk Rating</t>
  </si>
  <si>
    <t>Strategy</t>
  </si>
  <si>
    <t>FREQUENCY</t>
  </si>
  <si>
    <t>S1</t>
  </si>
  <si>
    <t>S2</t>
  </si>
  <si>
    <t>S3</t>
  </si>
  <si>
    <t>S4</t>
  </si>
  <si>
    <t>S5</t>
  </si>
  <si>
    <t>High</t>
  </si>
  <si>
    <t>Intervention - (Critical Step)
PPE cannot be assigned as a Primary Defense</t>
  </si>
  <si>
    <t>Major</t>
  </si>
  <si>
    <t>F5</t>
  </si>
  <si>
    <t>Monthly</t>
  </si>
  <si>
    <t>Severe</t>
  </si>
  <si>
    <t>F4</t>
  </si>
  <si>
    <t>Quarterly</t>
  </si>
  <si>
    <t>Medium</t>
  </si>
  <si>
    <t xml:space="preserve">Control
Do not proceed - additional defenses required
</t>
  </si>
  <si>
    <t>Significant</t>
  </si>
  <si>
    <t>F3</t>
  </si>
  <si>
    <t>Annually</t>
  </si>
  <si>
    <t>Moderate</t>
  </si>
  <si>
    <t>F2</t>
  </si>
  <si>
    <t>Bi-Annually</t>
  </si>
  <si>
    <t>Low</t>
  </si>
  <si>
    <t>Monitor
Maintain Defenses</t>
  </si>
  <si>
    <t>Minor</t>
  </si>
  <si>
    <t>F1</t>
  </si>
  <si>
    <t>&gt; Two years</t>
  </si>
  <si>
    <t>*Risk = (Severity + Frequency) -1</t>
  </si>
  <si>
    <t>TASK STEPS</t>
  </si>
  <si>
    <t>HAZARDS:</t>
  </si>
  <si>
    <t>Acute Risk (AR)</t>
  </si>
  <si>
    <t>Chronic Risk (CR)</t>
  </si>
  <si>
    <t>DEFENCES:</t>
  </si>
  <si>
    <t>Residual Risk</t>
  </si>
  <si>
    <t>COMMENTS:</t>
  </si>
  <si>
    <t>S</t>
  </si>
  <si>
    <t>F</t>
  </si>
  <si>
    <t>AR*</t>
  </si>
  <si>
    <t>CR*</t>
  </si>
  <si>
    <t>RR*</t>
  </si>
  <si>
    <r>
      <rPr>
        <b/>
        <sz val="7"/>
        <color theme="1"/>
        <rFont val="Montserrat"/>
      </rPr>
      <t>Before Work</t>
    </r>
    <r>
      <rPr>
        <sz val="7"/>
        <color theme="1"/>
        <rFont val="Montserrat"/>
      </rPr>
      <t xml:space="preserve"> Engineered Defence - Eliminated  - </t>
    </r>
    <r>
      <rPr>
        <b/>
        <sz val="7"/>
        <color theme="1"/>
        <rFont val="Montserrat"/>
      </rPr>
      <t>Planning</t>
    </r>
  </si>
  <si>
    <t>Noise</t>
  </si>
  <si>
    <t>Eliminate 
Noise Dampening Material 
Barrier/Shielding</t>
  </si>
  <si>
    <r>
      <rPr>
        <b/>
        <sz val="7"/>
        <color theme="1"/>
        <rFont val="Montserrat"/>
      </rPr>
      <t>In planning, ask customers to turn off noisy equipment</t>
    </r>
    <r>
      <rPr>
        <sz val="7"/>
        <color theme="1"/>
        <rFont val="Montserrat"/>
      </rPr>
      <t xml:space="preserve"> or if this is not possible.  </t>
    </r>
    <r>
      <rPr>
        <b/>
        <sz val="7"/>
        <color theme="1"/>
        <rFont val="Montserrat"/>
      </rPr>
      <t>Ask for noisy equipment to be screened off, with  barrier/shielding of noise damping material.</t>
    </r>
  </si>
  <si>
    <r>
      <rPr>
        <b/>
        <sz val="7"/>
        <color theme="1"/>
        <rFont val="Montserrat"/>
      </rPr>
      <t>Before Work</t>
    </r>
    <r>
      <rPr>
        <sz val="7"/>
        <color theme="1"/>
        <rFont val="Montserrat"/>
      </rPr>
      <t xml:space="preserve"> Admin Defence </t>
    </r>
  </si>
  <si>
    <t xml:space="preserve">Industrial Hygiene Program
Noise Assessment 
Noise Monitoring </t>
  </si>
  <si>
    <r>
      <rPr>
        <b/>
        <sz val="7"/>
        <color theme="1"/>
        <rFont val="Montserrat"/>
      </rPr>
      <t>Noise level monitoring program</t>
    </r>
    <r>
      <rPr>
        <sz val="7"/>
        <color theme="1"/>
        <rFont val="Montserrat"/>
      </rPr>
      <t xml:space="preserve">: Gather information on noise from:
o Noise assessments for the area, 
o Noise maps
o A walkthrough with a sound meter
o Interviews with people on the site (e.g. complaints)                                                                                  </t>
    </r>
    <r>
      <rPr>
        <b/>
        <sz val="7"/>
        <color theme="1"/>
        <rFont val="Montserrat"/>
      </rPr>
      <t>Determine which jobs and tasks are exposed to noise.</t>
    </r>
    <r>
      <rPr>
        <sz val="7"/>
        <color theme="1"/>
        <rFont val="Montserrat"/>
      </rPr>
      <t xml:space="preserve"> Common sources of noise are: Noisy plant and equipment, power tools, Impact noise from handling parts and manual metal on metal contact like hammering,  Steam leaks, sand blasting , Road driving,  other work scope in the vicinity with turbine Halls etc (other contractors </t>
    </r>
  </si>
  <si>
    <t xml:space="preserve">Health Surveillance
Risk Assessment Review </t>
  </si>
  <si>
    <r>
      <t xml:space="preserve">o </t>
    </r>
    <r>
      <rPr>
        <b/>
        <sz val="7"/>
        <color theme="1"/>
        <rFont val="Montserrat"/>
      </rPr>
      <t xml:space="preserve">Implement a suitable health surveillance program for affected employees: </t>
    </r>
    <r>
      <rPr>
        <sz val="7"/>
        <color theme="1"/>
        <rFont val="Montserrat"/>
      </rPr>
      <t xml:space="preserve">Workers exposed to an 8 hour TWA of 85dB (A) are eligible for a medical surveillance program, including audiometry. (Regional Hearing Conservation program.
o  </t>
    </r>
    <r>
      <rPr>
        <b/>
        <sz val="7"/>
        <color theme="1"/>
        <rFont val="Montserrat"/>
      </rPr>
      <t>Health Surveillance results</t>
    </r>
    <r>
      <rPr>
        <sz val="7"/>
        <color theme="1"/>
        <rFont val="Montserrat"/>
      </rPr>
      <t xml:space="preserve">  discuss with the health service and FC Occupational Health Manager 
o  </t>
    </r>
    <r>
      <rPr>
        <b/>
        <sz val="7"/>
        <color theme="1"/>
        <rFont val="Montserrat"/>
      </rPr>
      <t>IF adverse Health outcomes found</t>
    </r>
    <r>
      <rPr>
        <sz val="7"/>
        <color theme="1"/>
        <rFont val="Montserrat"/>
      </rPr>
      <t xml:space="preserve"> to enable review of Control strategy effectiveness.</t>
    </r>
  </si>
  <si>
    <r>
      <rPr>
        <b/>
        <sz val="7"/>
        <color theme="1"/>
        <rFont val="Montserrat"/>
      </rPr>
      <t>Before Work</t>
    </r>
    <r>
      <rPr>
        <sz val="7"/>
        <color theme="1"/>
        <rFont val="Montserrat"/>
      </rPr>
      <t xml:space="preserve"> Engineered Defence - Substitution  </t>
    </r>
  </si>
  <si>
    <t>Buy Quiet Tool Purchasing policy (Lower noise tools)
Preventative Maintenance</t>
  </si>
  <si>
    <r>
      <rPr>
        <b/>
        <sz val="7"/>
        <color theme="1"/>
        <rFont val="Montserrat"/>
      </rPr>
      <t>Buy - Quiet Tool Policy Purchase</t>
    </r>
    <r>
      <rPr>
        <sz val="7"/>
        <color theme="1"/>
        <rFont val="Montserrat"/>
      </rPr>
      <t>, and use lowest noise tools available and keep well maintained</t>
    </r>
  </si>
  <si>
    <t>Risk Assessment
POWRA</t>
  </si>
  <si>
    <r>
      <rPr>
        <b/>
        <sz val="7"/>
        <color theme="1"/>
        <rFont val="Montserrat"/>
      </rPr>
      <t>Conduct Noise Risk Assessment:</t>
    </r>
    <r>
      <rPr>
        <sz val="7"/>
        <color theme="1"/>
        <rFont val="Montserrat"/>
      </rPr>
      <t xml:space="preserve"> Risk assessments should be conducted for all routine jobs.                                                                                  o The main source of noise in FC is from power tools and impact noise from hammering etc  beware of non FC work groups working nearby generating noise that could impact FieldCore .</t>
    </r>
  </si>
  <si>
    <r>
      <rPr>
        <b/>
        <sz val="7"/>
        <color theme="1"/>
        <rFont val="Montserrat"/>
      </rPr>
      <t>Before Work Planning</t>
    </r>
    <r>
      <rPr>
        <sz val="7"/>
        <color theme="1"/>
        <rFont val="Montserrat"/>
      </rPr>
      <t xml:space="preserve"> Admin Defence </t>
    </r>
  </si>
  <si>
    <t>Work Schedules 
Time Limitation/Freq Breaks
Job Rotation
PPE</t>
  </si>
  <si>
    <r>
      <rPr>
        <b/>
        <sz val="7"/>
        <color theme="1"/>
        <rFont val="Montserrat"/>
      </rPr>
      <t>• Improve work organization,</t>
    </r>
    <r>
      <rPr>
        <sz val="7"/>
        <color theme="1"/>
        <rFont val="Montserrat"/>
      </rPr>
      <t xml:space="preserve"> including work-rest cycles ensuring workers have time to recover (fatigue) in very hight noise areas &gt; 110dB(A) with;                                                                                                                  o </t>
    </r>
    <r>
      <rPr>
        <b/>
        <sz val="7"/>
        <color theme="1"/>
        <rFont val="Montserrat"/>
      </rPr>
      <t>Mandatory double hearing protect policy</t>
    </r>
    <r>
      <rPr>
        <sz val="7"/>
        <color theme="1"/>
        <rFont val="Montserrat"/>
      </rPr>
      <t>, ear plugs + ear Muff /Defenders
o Reductions in frequency and or duration of tasks
o Rotating tasks, in  high noise areas                                                                     o Exclusion zones round high noise activity, using a sound meter to determine limit of area that is NOT a hearing protection Zone &lt;80dB(A)</t>
    </r>
  </si>
  <si>
    <t>Training/Competency</t>
  </si>
  <si>
    <r>
      <rPr>
        <b/>
        <sz val="7"/>
        <color theme="1"/>
        <rFont val="Montserrat"/>
      </rPr>
      <t xml:space="preserve">Provide employees with suitable &amp; adequate training &amp; awareness on hazards related to  Noise </t>
    </r>
    <r>
      <rPr>
        <sz val="7"/>
        <color theme="1"/>
        <rFont val="Montserrat"/>
      </rPr>
      <t xml:space="preserve">
• Clear understanding by workers noise risk especially related tool noise  to and the correct use of Hearing protection                                                     </t>
    </r>
    <r>
      <rPr>
        <b/>
        <sz val="7"/>
        <color theme="1"/>
        <rFont val="Montserrat"/>
      </rPr>
      <t>o Complete FC Training Course (LMS):</t>
    </r>
    <r>
      <rPr>
        <sz val="7"/>
        <color theme="1"/>
        <rFont val="Montserrat"/>
      </rPr>
      <t xml:space="preserve"> GE-EHS-530:Occupational Noise for Potentially Exposed Individuals</t>
    </r>
  </si>
  <si>
    <r>
      <t xml:space="preserve">During Work </t>
    </r>
    <r>
      <rPr>
        <sz val="7"/>
        <color theme="1"/>
        <rFont val="Montserrat"/>
      </rPr>
      <t>Oversight Defence</t>
    </r>
  </si>
  <si>
    <t>Supervisory Oversight
Peer checking
Concern Report
Stop Work
Alternate Work Methods</t>
  </si>
  <si>
    <r>
      <rPr>
        <b/>
        <sz val="7"/>
        <color theme="1"/>
        <rFont val="Montserrat"/>
      </rPr>
      <t>Supervision,</t>
    </r>
    <r>
      <rPr>
        <sz val="7"/>
        <color theme="1"/>
        <rFont val="Montserrat"/>
      </rPr>
      <t xml:space="preserve"> ensure Ear defenders are worn be workforce, </t>
    </r>
    <r>
      <rPr>
        <b/>
        <sz val="7"/>
        <color theme="1"/>
        <rFont val="Montserrat"/>
      </rPr>
      <t xml:space="preserve">peer checking, </t>
    </r>
    <r>
      <rPr>
        <sz val="7"/>
        <color theme="1"/>
        <rFont val="Montserrat"/>
      </rPr>
      <t xml:space="preserve">for noisy tasks limit the number of people in the vicinity if possible that could be impact by noise </t>
    </r>
  </si>
  <si>
    <t>During Work: Control of Health Hazards Risk (Industrial Hygiene) Admin</t>
  </si>
  <si>
    <t>Safety Signs
Barrier/Shielding</t>
  </si>
  <si>
    <r>
      <t xml:space="preserve">Hazard identification by signs/warnings/labels Hearing protection zones implemented for areas with noise levels above ≥80dB (A).  </t>
    </r>
    <r>
      <rPr>
        <sz val="7"/>
        <color theme="1"/>
        <rFont val="Montserrat"/>
      </rPr>
      <t>Noise</t>
    </r>
    <r>
      <rPr>
        <b/>
        <sz val="7"/>
        <color theme="1"/>
        <rFont val="Montserrat"/>
      </rPr>
      <t xml:space="preserve"> Shielding </t>
    </r>
    <r>
      <rPr>
        <sz val="7"/>
        <color theme="1"/>
        <rFont val="Montserrat"/>
      </rPr>
      <t>Barrier/ Shielding noisy tasks, limit the number of people in the vicinity if possible that could be impact by noise</t>
    </r>
  </si>
  <si>
    <t>During Work: Control of Health Hazards Risk (Industrial Hygiene) PPE</t>
  </si>
  <si>
    <t>Hearing Protection/Ear Defenders
Ear Muffs
Ear Plugs 
Double Hearing Protection (Muffs + Plugs)
PPE</t>
  </si>
  <si>
    <r>
      <rPr>
        <b/>
        <sz val="7"/>
        <color theme="1"/>
        <rFont val="Montserrat"/>
      </rPr>
      <t xml:space="preserve">o Hearing Protection </t>
    </r>
    <r>
      <rPr>
        <sz val="7"/>
        <color theme="1"/>
        <rFont val="Montserrat"/>
      </rPr>
      <t xml:space="preserve">
o Hearing protection required  to be </t>
    </r>
    <r>
      <rPr>
        <b/>
        <sz val="7"/>
        <color theme="1"/>
        <rFont val="Montserrat"/>
      </rPr>
      <t>provided to all workers exposed to noise levels ≥85dB(A</t>
    </r>
    <r>
      <rPr>
        <sz val="7"/>
        <color theme="1"/>
        <rFont val="Montserrat"/>
      </rPr>
      <t xml:space="preserve">),                                                                                           and </t>
    </r>
    <r>
      <rPr>
        <b/>
        <sz val="7"/>
        <color theme="1"/>
        <rFont val="Montserrat"/>
      </rPr>
      <t xml:space="preserve">available on request for noise levels ≥80dB(A) </t>
    </r>
    <r>
      <rPr>
        <sz val="7"/>
        <color theme="1"/>
        <rFont val="Montserrat"/>
      </rPr>
      <t xml:space="preserve">                                       o </t>
    </r>
    <r>
      <rPr>
        <b/>
        <sz val="7"/>
        <color theme="1"/>
        <rFont val="Montserrat"/>
      </rPr>
      <t>Double Hearing protection for areas  with very high noise  ≥100dB(A)</t>
    </r>
  </si>
  <si>
    <t>EQUIPMENT /MATERIAL / PPE REQUIRED</t>
  </si>
  <si>
    <t>Cut Resistant Gloves (Level C EN388:2016 or A3 Cut ANSI105:2016) Safety Glasses, Safety Boots,  Double Lanyard Safety Harness for all work at height.  PPE as required by Chemical Safety Data Sheet should be worn as instructed.  All rigging and lifting equipment should be certified and pre-use inspected.    o Hearing Protection o Hearing protection required  to be provided to all workers exposed to noise levels ≥85dB(A),  and available on request for noise levels ≥80dB(A)  Double Hearing protection for areas  with very high noise  ≥100dB(A)</t>
  </si>
  <si>
    <t>ASSESSED BY:</t>
  </si>
  <si>
    <t xml:space="preserve">SIGNATURE: Ross Conway </t>
  </si>
  <si>
    <t>PRINT NAME: Ross Conway</t>
  </si>
  <si>
    <t xml:space="preserve">DATE: </t>
  </si>
  <si>
    <t>REVIEWED &amp; APPROVED BY</t>
  </si>
  <si>
    <t>SIGNATURE: Jason Keller</t>
  </si>
  <si>
    <t xml:space="preserve">PRINT NAME: Jason Keller </t>
  </si>
  <si>
    <t>GE Event Level Definitions</t>
  </si>
  <si>
    <t xml:space="preserve">        Severity
Frequency</t>
  </si>
  <si>
    <t>Minor 
(Level D)</t>
  </si>
  <si>
    <t>Ssignificant
(Level C)</t>
  </si>
  <si>
    <t>Severe
(Level B)</t>
  </si>
  <si>
    <t>Major
(Level A)</t>
  </si>
  <si>
    <t>Risk Rating &amp; Strategy</t>
  </si>
  <si>
    <t>Action Required
-  Risk Register</t>
  </si>
  <si>
    <t>Action Required
- Task Risk Assessment</t>
  </si>
  <si>
    <r>
      <t xml:space="preserve">S1 </t>
    </r>
    <r>
      <rPr>
        <sz val="11"/>
        <color theme="1"/>
        <rFont val="Calibri"/>
        <family val="2"/>
        <scheme val="minor"/>
      </rPr>
      <t>Minor</t>
    </r>
  </si>
  <si>
    <r>
      <t xml:space="preserve">S2 </t>
    </r>
    <r>
      <rPr>
        <sz val="11"/>
        <color theme="1"/>
        <rFont val="Calibri"/>
        <family val="2"/>
        <scheme val="minor"/>
      </rPr>
      <t>Moderate</t>
    </r>
  </si>
  <si>
    <r>
      <t xml:space="preserve">S3 </t>
    </r>
    <r>
      <rPr>
        <sz val="11"/>
        <color theme="1"/>
        <rFont val="Calibri"/>
        <family val="2"/>
        <scheme val="minor"/>
      </rPr>
      <t>Significant</t>
    </r>
  </si>
  <si>
    <r>
      <t xml:space="preserve">S4 </t>
    </r>
    <r>
      <rPr>
        <sz val="11"/>
        <color theme="1"/>
        <rFont val="Calibri"/>
        <family val="2"/>
        <scheme val="minor"/>
      </rPr>
      <t>Severe</t>
    </r>
  </si>
  <si>
    <r>
      <t xml:space="preserve">S5 </t>
    </r>
    <r>
      <rPr>
        <sz val="11"/>
        <color theme="1"/>
        <rFont val="Calibri"/>
        <family val="2"/>
        <scheme val="minor"/>
      </rPr>
      <t>Major</t>
    </r>
  </si>
  <si>
    <t>1-3</t>
  </si>
  <si>
    <t>Low                      (Supervisory Strategy)</t>
  </si>
  <si>
    <r>
      <rPr>
        <b/>
        <sz val="11"/>
        <color theme="1"/>
        <rFont val="Calibri"/>
        <family val="2"/>
        <scheme val="minor"/>
      </rPr>
      <t xml:space="preserve">Accept Risk </t>
    </r>
    <r>
      <rPr>
        <sz val="11"/>
        <rFont val="Calibri"/>
        <family val="2"/>
        <scheme val="minor"/>
      </rPr>
      <t xml:space="preserve">                                                      
Manage and maintain defenses and procedures</t>
    </r>
  </si>
  <si>
    <r>
      <rPr>
        <b/>
        <sz val="11"/>
        <color theme="1"/>
        <rFont val="Calibri"/>
        <family val="2"/>
        <scheme val="minor"/>
      </rPr>
      <t xml:space="preserve">Accept Risk </t>
    </r>
    <r>
      <rPr>
        <sz val="11"/>
        <rFont val="Calibri"/>
        <family val="2"/>
        <scheme val="minor"/>
      </rPr>
      <t xml:space="preserve">                                                                    
Manage and maintain defenses and procedures</t>
    </r>
  </si>
  <si>
    <r>
      <rPr>
        <b/>
        <sz val="12"/>
        <color theme="1"/>
        <rFont val="Calibri"/>
        <family val="2"/>
        <scheme val="minor"/>
      </rPr>
      <t xml:space="preserve">            F5</t>
    </r>
    <r>
      <rPr>
        <b/>
        <sz val="11"/>
        <color theme="1"/>
        <rFont val="Calibri"/>
        <family val="2"/>
        <scheme val="minor"/>
      </rPr>
      <t xml:space="preserve">                            </t>
    </r>
    <r>
      <rPr>
        <sz val="11"/>
        <color theme="1"/>
        <rFont val="Calibri"/>
        <family val="2"/>
        <scheme val="minor"/>
      </rPr>
      <t>Monthly</t>
    </r>
  </si>
  <si>
    <t>4-5</t>
  </si>
  <si>
    <t>Medium                (Control Strategy)</t>
  </si>
  <si>
    <r>
      <rPr>
        <b/>
        <sz val="11"/>
        <color theme="1"/>
        <rFont val="Calibri"/>
        <family val="2"/>
        <scheme val="minor"/>
      </rPr>
      <t>HQ Action Required</t>
    </r>
    <r>
      <rPr>
        <sz val="11"/>
        <rFont val="Calibri"/>
        <family val="2"/>
        <scheme val="minor"/>
      </rPr>
      <t xml:space="preserve">                                
SMART actions developed to reduce risk level</t>
    </r>
  </si>
  <si>
    <r>
      <rPr>
        <b/>
        <sz val="11"/>
        <color theme="1"/>
        <rFont val="Calibri"/>
        <family val="2"/>
        <scheme val="minor"/>
      </rPr>
      <t xml:space="preserve"> STOP! Action Required</t>
    </r>
    <r>
      <rPr>
        <sz val="11"/>
        <rFont val="Calibri"/>
        <family val="2"/>
        <scheme val="minor"/>
      </rPr>
      <t xml:space="preserve">                              
Additional defenses are required to reduce the risk to an acceptable low level</t>
    </r>
  </si>
  <si>
    <r>
      <rPr>
        <b/>
        <sz val="12"/>
        <color theme="1"/>
        <rFont val="Calibri"/>
        <family val="2"/>
        <scheme val="minor"/>
      </rPr>
      <t xml:space="preserve">            F4    </t>
    </r>
    <r>
      <rPr>
        <b/>
        <sz val="11"/>
        <color theme="1"/>
        <rFont val="Calibri"/>
        <family val="2"/>
        <scheme val="minor"/>
      </rPr>
      <t xml:space="preserve">                         </t>
    </r>
    <r>
      <rPr>
        <sz val="11"/>
        <color theme="1"/>
        <rFont val="Calibri"/>
        <family val="2"/>
        <scheme val="minor"/>
      </rPr>
      <t>Quarterly</t>
    </r>
  </si>
  <si>
    <t>&gt;5</t>
  </si>
  <si>
    <t>High
(Critical Step)*    (Intervention Strategy)</t>
  </si>
  <si>
    <r>
      <rPr>
        <b/>
        <sz val="11"/>
        <color theme="1"/>
        <rFont val="Calibri"/>
        <family val="2"/>
        <scheme val="minor"/>
      </rPr>
      <t xml:space="preserve">HQ Action Required       </t>
    </r>
    <r>
      <rPr>
        <sz val="11"/>
        <rFont val="Calibri"/>
        <family val="2"/>
        <scheme val="minor"/>
      </rPr>
      <t xml:space="preserve">                                        
Risk Reduction Project required and 3 month action plan developed to reduce risk level.  Input to Strategic Blueprint review</t>
    </r>
  </si>
  <si>
    <r>
      <rPr>
        <b/>
        <sz val="11"/>
        <color theme="1"/>
        <rFont val="Calibri"/>
        <family val="2"/>
        <scheme val="minor"/>
      </rPr>
      <t xml:space="preserve">STOP!!  Action Required       </t>
    </r>
    <r>
      <rPr>
        <sz val="11"/>
        <rFont val="Calibri"/>
        <family val="2"/>
        <scheme val="minor"/>
      </rPr>
      <t xml:space="preserve">                           
Additional defenses are required (in addition to PPE) to reduce the risk to an acceptable low level.  
Consult with FieldCore EHS.</t>
    </r>
  </si>
  <si>
    <r>
      <rPr>
        <b/>
        <sz val="12"/>
        <color theme="1"/>
        <rFont val="Calibri"/>
        <family val="2"/>
        <scheme val="minor"/>
      </rPr>
      <t xml:space="preserve">           F3  </t>
    </r>
    <r>
      <rPr>
        <b/>
        <sz val="11"/>
        <color theme="1"/>
        <rFont val="Calibri"/>
        <family val="2"/>
        <scheme val="minor"/>
      </rPr>
      <t xml:space="preserve">                          </t>
    </r>
    <r>
      <rPr>
        <sz val="11"/>
        <color theme="1"/>
        <rFont val="Calibri"/>
        <family val="2"/>
        <scheme val="minor"/>
      </rPr>
      <t>Annually</t>
    </r>
  </si>
  <si>
    <t xml:space="preserve">
*Any hazard where failure of the defence(s) could result in a catastrophic event</t>
  </si>
  <si>
    <r>
      <rPr>
        <b/>
        <sz val="12"/>
        <color theme="1"/>
        <rFont val="Calibri"/>
        <family val="2"/>
        <scheme val="minor"/>
      </rPr>
      <t xml:space="preserve">          F2  </t>
    </r>
    <r>
      <rPr>
        <b/>
        <sz val="11"/>
        <color theme="1"/>
        <rFont val="Calibri"/>
        <family val="2"/>
        <scheme val="minor"/>
      </rPr>
      <t xml:space="preserve">                                     </t>
    </r>
    <r>
      <rPr>
        <sz val="11"/>
        <color theme="1"/>
        <rFont val="Calibri"/>
        <family val="2"/>
        <scheme val="minor"/>
      </rPr>
      <t>Bi-Annually</t>
    </r>
  </si>
  <si>
    <r>
      <rPr>
        <b/>
        <sz val="12"/>
        <color theme="1"/>
        <rFont val="Calibri"/>
        <family val="2"/>
        <scheme val="minor"/>
      </rPr>
      <t xml:space="preserve">          F1   </t>
    </r>
    <r>
      <rPr>
        <b/>
        <sz val="11"/>
        <color theme="1"/>
        <rFont val="Calibri"/>
        <family val="2"/>
        <scheme val="minor"/>
      </rPr>
      <t xml:space="preserve">          </t>
    </r>
    <r>
      <rPr>
        <sz val="11"/>
        <color theme="1"/>
        <rFont val="Calibri"/>
        <family val="2"/>
        <scheme val="minor"/>
      </rPr>
      <t>Less than 
every 2 years</t>
    </r>
  </si>
  <si>
    <t>GE Event Level</t>
  </si>
  <si>
    <t>FieldCore
Severity 
Level</t>
  </si>
  <si>
    <t>Accident</t>
  </si>
  <si>
    <t>Occupational Illness</t>
  </si>
  <si>
    <t>Environment</t>
  </si>
  <si>
    <t>Damage</t>
  </si>
  <si>
    <t>Security</t>
  </si>
  <si>
    <t>Major 
(Level A)</t>
  </si>
  <si>
    <t>Fatality</t>
  </si>
  <si>
    <t>Life threatening illness
A very serious illness contracted at work that might result death</t>
  </si>
  <si>
    <t>An Incident that affects the community or environment beyond FieldCore or GE’s fence-line, interrupts public services, or triggers community protective measures such as sheltering in-place.</t>
  </si>
  <si>
    <t xml:space="preserve">Over $1,000,000 (Direct &amp; Indirect Costs)
Extensive damage (multiple fires / explosions) or loss of installation / facilities.
</t>
  </si>
  <si>
    <t>Major community disruption
Attacks, violent labor unrest, destruction of critical equipment, murder, hijacking, kidnapping, piracy, blacklisted by authorities
Complete disruption of security systems</t>
  </si>
  <si>
    <t>Serious Lost Time Injury / Partial or total permanent disability</t>
  </si>
  <si>
    <t>Serious chronic illness of employee resulting in partial or total permanent disability.</t>
  </si>
  <si>
    <t xml:space="preserve">Missing permit 
Multiple environmental permit exceedances from a single event
Spill or release that triggers reporting requirements and travels outside FieldCore or GE property.
Externally identified violation of waste disposal or hazmat shipping regulations.
</t>
  </si>
  <si>
    <t>More than $250,000 less than $1,000,000 (Direct &amp; Indirect Costs).
Damage extending to several areas / significant impairment of installation / facilities / equipment integrity
Events such as fires and explosions that require response from an outside organization</t>
  </si>
  <si>
    <t>Severe community disruption
Security threats: protests which stop work, demonstrations which can turn violent, stop of work, fraud, corruption
Significant damage to security systems</t>
  </si>
  <si>
    <t>Significant
(Level C)</t>
  </si>
  <si>
    <t>Lost Time Injury (LTI) / Partial or total temporary disability</t>
  </si>
  <si>
    <t>Illness resulting in sick leave and requiring medical treatment and/or recurrent illness 
Illness resulting in temporally work restriction and/or resulting in change of work</t>
  </si>
  <si>
    <t xml:space="preserve">Single permit exceedance 
Failure to file regulatorily-required report 
Spill or release that triggers reporting requirements but remains on FieldCore or GE property.
Self-identified violation of waste disposal or hazmat shipping regulations.
Customer reportable spill or release
Nuisance event where regulations require neighbors beyond site boundary to be notified or short-term regulatory permission to be obtained (e.g. noise / odor / dust)
</t>
  </si>
  <si>
    <t>More than $100,000, less than $250,000 (Direct &amp; Indirect Costs).
Significant damage to local area or essential plant &amp; equipment</t>
  </si>
  <si>
    <t>Significant community disruption
Protests which partially stop work, blackmail, major fight, significant theft
Limited capacity to carry out emergency communication,  significant damage to security systems</t>
  </si>
  <si>
    <t>Medical Treatment / Restricted Work Injury</t>
  </si>
  <si>
    <t>Any disorder or illness which has short term impact on the tasks of the employee requiring medical treatment beyond first aid.</t>
  </si>
  <si>
    <t xml:space="preserve">Spill or release that does not trigger reporting limits.
Non-reportable spill / release on customer property. 
Nuisance event where regulations do not require neighbors beyond site boundary to be notified or short-term regulatory permission to be obtained (e.g. noise / odor / dust)                                                                                                                   Uncontrolled use of energy (waste)
</t>
  </si>
  <si>
    <t>More than $10,000 less than $100,000            (Direct &amp; Indirect Costs).
Limited damage to plant &amp; equipment</t>
  </si>
  <si>
    <t>Minor community disruption
Limited security issues (e.g. small fights, minor thefts, minor interruption of network
Limited impact on security systems</t>
  </si>
  <si>
    <t>Minor
(Level D)</t>
  </si>
  <si>
    <t>First Aid Injury</t>
  </si>
  <si>
    <t>Minor short term ailment.
Any disorder or illness which has no impact or very short term impact on the tasks of the employee – with no medical treatment</t>
  </si>
  <si>
    <t>Spill or release that is caught by secondary containment (e.g. a spill that is contained in the package, bund or turbine enclosure) generating unexpected hazardous waste for disposal</t>
  </si>
  <si>
    <t>Less than $10,000 (Direct &amp; Indirect Costs)
Insignificant damage to plant and/or equipment</t>
  </si>
  <si>
    <t>No social or security issues</t>
  </si>
  <si>
    <t>Risk Calculator</t>
  </si>
  <si>
    <t>Hazard</t>
  </si>
  <si>
    <t>Potential Risk</t>
  </si>
  <si>
    <t>Hazard One</t>
  </si>
  <si>
    <t>Lifting Operations</t>
  </si>
  <si>
    <t>Hazard Two</t>
  </si>
  <si>
    <t>Use of Tooling</t>
  </si>
  <si>
    <t>Hazard Three</t>
  </si>
  <si>
    <t>Pinch Points/Line of Fire</t>
  </si>
  <si>
    <t>Hazard Four</t>
  </si>
  <si>
    <t>Restricted Work Space</t>
  </si>
  <si>
    <t>No Hazard</t>
  </si>
  <si>
    <t>Potential Risk Guidance</t>
  </si>
  <si>
    <t>Comments Guidance</t>
  </si>
  <si>
    <t>Work at Height</t>
  </si>
  <si>
    <t>Note:</t>
  </si>
  <si>
    <t>The TRA and Risk Matrix are the key elements of this template and are subject to document control.  The additional guidance tabs and "in-form" drop downs are intended to support and facilitate preparation if the risk assessments.  However this guidance etc is subject ongoing improvement and may be updated from time to time and so there may be some variation in this content in live working documents in the field.  This variation is acceptable but the entire template will be periodically updated and re-issued to consolidate and reflect the best practice and lessons learnt</t>
  </si>
  <si>
    <t>Hazards</t>
  </si>
  <si>
    <t>Risk Score</t>
  </si>
  <si>
    <t>Comments</t>
  </si>
  <si>
    <t>I&amp;M Core Activity</t>
  </si>
  <si>
    <t>I&amp;M Case Accident Type</t>
  </si>
  <si>
    <t>I&amp;M Case Injury Type</t>
  </si>
  <si>
    <t>I&amp;M Case Illness Type</t>
  </si>
  <si>
    <t>Adjacent Activities</t>
  </si>
  <si>
    <t>POWRA (P&amp;S Plan Tab S) should be used to mitigate risk for other working parties</t>
  </si>
  <si>
    <t>Animals</t>
  </si>
  <si>
    <t>POWRA (P&amp;S Plan Tab S) should be used to mitigate risk from wildlife hazards</t>
  </si>
  <si>
    <t>Asbestos</t>
  </si>
  <si>
    <t>An supplementary Asbestos Management Plan should be in place. Communicated and acted upon.</t>
  </si>
  <si>
    <t>Biological Hazard</t>
  </si>
  <si>
    <t>A Biological Control Plan must be in place, communicated and acted upon..</t>
  </si>
  <si>
    <t>Burst Disc</t>
  </si>
  <si>
    <t>POWRA (P&amp;S Plan Tab S) should be used to mitigate risk from burst (grinding) disks, and with the tool physically unplugged, ensure guard is in place and fully functional</t>
  </si>
  <si>
    <t>Confined Space</t>
  </si>
  <si>
    <t>Confined Space Entry Permit (P&amp;S Plan Tab U) must be used to control risk.  Attendants, gas checks, rescue planning and authorized entrants must be utilized to support entry.</t>
  </si>
  <si>
    <t>Chemicals</t>
  </si>
  <si>
    <t>Contact with wheel</t>
  </si>
  <si>
    <t>Ensure the correct disc has been selected for the type of material being used.
The disc can get caught up so ensure that a dead man switch is used and that body parts are carefully placed to prevent trap points.</t>
  </si>
  <si>
    <t>Contractors</t>
  </si>
  <si>
    <t>Contractors should be qualified through the  Comply Works contractor management program.</t>
  </si>
  <si>
    <t>Deep Water</t>
  </si>
  <si>
    <t>An emergency rescue plan and buoyancy equipment should be available and personnel trained and qualified for work and rescue.</t>
  </si>
  <si>
    <t>DG Shipment</t>
  </si>
  <si>
    <t>Local Dangerous Goods shipment laws should be understood and followed.</t>
  </si>
  <si>
    <t>Dropped Objects</t>
  </si>
  <si>
    <t>POWRA (P&amp;S Plan Tab S) should be used to mitigate risk from dropped object hazards</t>
  </si>
  <si>
    <t>Dust, Fume or Grit</t>
  </si>
  <si>
    <t>PPE Matrix (P&amp;S Plan Tab EE) should be used to identify PPE requirements.  LEV or natural ventilation should be in place where required.</t>
  </si>
  <si>
    <t>Electricity</t>
  </si>
  <si>
    <t>Live electrical work over 50V requires an Energized Electrical Work Permit (P&amp;S Plan Tab W)</t>
  </si>
  <si>
    <t>Electromagnetic Fields</t>
  </si>
  <si>
    <t>Stop work and seek advice if working in high levels of electromagnetic field activity.</t>
  </si>
  <si>
    <t>Energy Emitted</t>
  </si>
  <si>
    <t>An environmental risk assessment should be considered for high levels of energy emission.</t>
  </si>
  <si>
    <t>Ergo/WMSD</t>
  </si>
  <si>
    <t>An Ergo Assessment should be in place and communicated to all affected persons.</t>
  </si>
  <si>
    <t>Explosive Atmosphere</t>
  </si>
  <si>
    <t>The site evacuation plan (P&amp;S Plan Tab C) should be reviewed and communicated to all affected persons.  Spark control techniques, static free clothing and intrinsically safe tools and equipment must be used.</t>
  </si>
  <si>
    <t>Fire/Smoke</t>
  </si>
  <si>
    <t>The site evacuation plan (P&amp;S Plan Tab C) should be reviewed and communicated to all affected persons.</t>
  </si>
  <si>
    <t>Hazardous Substances</t>
  </si>
  <si>
    <t>Safety Data Sheets should be reviewed with controls and PPE specified in the data being followed.  The chemical must be approved and on the chemical inventory  (P&amp;S Plan Tab L)</t>
  </si>
  <si>
    <t>Health Risk (Chronic) HAVs</t>
  </si>
  <si>
    <t>POWRA (P&amp;S Plan Tab S) should be used to mitigate risk from Hand Arm Vibration</t>
  </si>
  <si>
    <t>Heavy Metals</t>
  </si>
  <si>
    <t>Heavy Metals, dusts or fumes to be controlled and approprate PPE &amp; RPE worn</t>
  </si>
  <si>
    <t>Hot Surfaces</t>
  </si>
  <si>
    <t>POWRA (P&amp;S Plan Tab S) should be used to mitigate risk from hot surfaces</t>
  </si>
  <si>
    <t>Hot Work</t>
  </si>
  <si>
    <t>A Hot Work Permit (P&amp;S Plan Tab T) should be in place to support Hot Work Activities.</t>
  </si>
  <si>
    <t>Industrial Hygiene</t>
  </si>
  <si>
    <t>Lasers</t>
  </si>
  <si>
    <t xml:space="preserve">Lasers must be used by trained technicians in strict accordance with Original Equipment Manufacturers instructions.  </t>
  </si>
  <si>
    <t>Lift Plans &amp; POWLA (P&amp;S Plan Tab V) should be in place and communicated before commencing lifting operations</t>
  </si>
  <si>
    <t>Lighting Conditions</t>
  </si>
  <si>
    <t>POWRA (P&amp;S Plan Tab S) should be used to mitigate risk from poor lighting conditions</t>
  </si>
  <si>
    <t>Loose Debris</t>
  </si>
  <si>
    <t>POWRA (P&amp;S Plan Tab S) should be used to mitigate risk from loose debris.  Special consideration should be given to the type of safety eyewear and face/neck protections selected.</t>
  </si>
  <si>
    <t>Machinery</t>
  </si>
  <si>
    <t>POWRA (P&amp;S Plan Tab S) should be used to mitigate risk entanglement or contact with rotating or moving machinery</t>
  </si>
  <si>
    <t>Manual Handling</t>
  </si>
  <si>
    <t>Ensure that the load is held close to the body, the back is straight and the legs are used to lift the load.  Use additional persons or machinery as required to prevent awkward or heavy loads causing injury.</t>
  </si>
  <si>
    <t>POWRA (P&amp;S Plan Tab S) should be used to mitigate risk from workplace noise.  Protective earwear should be selected to mitigate the risk where admin and engineering controls do not completely mitigate the risk..</t>
  </si>
  <si>
    <t>POWRA (P&amp;S Plan Tab S) should be used to mitigate risk from pinch point and line of fire hazards.  Peering checking, tool holders and careful hand/body part placement should be deployed continuously where risk exists.</t>
  </si>
  <si>
    <t>Power Industrial Trucks</t>
  </si>
  <si>
    <t>The forklift should be inspected (P&amp;S Plan Tab Y).  Only trained operators using certified equipment are authorized, ensure there is sufficient personnel/vehicle segregation.</t>
  </si>
  <si>
    <t>Pressurized Energy</t>
  </si>
  <si>
    <t>All pressurized equipment and systems should be pre-use inspected and where required certified before use.  Approach boundaries and guarding should be used for any pressurized testing - pressure test protocols must be prepared and signed-off by a qualified person.</t>
  </si>
  <si>
    <t>Radiation</t>
  </si>
  <si>
    <t>A radiation control plan should be in place, communicated and enforced for the duration of the radiation activity. Radiation zone entry control must be in place.</t>
  </si>
  <si>
    <t>Releases to Air</t>
  </si>
  <si>
    <t>An environmental risk assessment should be considered for releases to air risk</t>
  </si>
  <si>
    <t>Releases to Land</t>
  </si>
  <si>
    <t>An environmental risk assessment should be considered for releases to land risk</t>
  </si>
  <si>
    <t>Releases to Water</t>
  </si>
  <si>
    <t>An environmental risk assessment should be considered for releases to water risk</t>
  </si>
  <si>
    <t>POWRA (P&amp;S Plan Tab S) should be used to mitigate risk from restricted work spaces</t>
  </si>
  <si>
    <t>Screen/Light Glare</t>
  </si>
  <si>
    <t>POWRA (P&amp;S Plan Tab S) should be used to mitigate risk from sharp objects.  PPE Matrix (P&amp;S Plan Tab EE) should define PPE requirements</t>
  </si>
  <si>
    <t>Sharp objects</t>
  </si>
  <si>
    <t>Stress</t>
  </si>
  <si>
    <t>Stop Work and raise concern for Stress inducing activities/situations</t>
  </si>
  <si>
    <t>Thermal Stress</t>
  </si>
  <si>
    <t>POWRA (P&amp;S Plan Tab S) should be used to mitigate risk from  Thermal Stress (Hot/Cold)</t>
  </si>
  <si>
    <t>Transport</t>
  </si>
  <si>
    <t>Journey Management Planning and use of a Banks Person should be considered to mitigate risk.</t>
  </si>
  <si>
    <t>Uncontrolled Energy (LOTO)</t>
  </si>
  <si>
    <t>LOTO (P&amp;S Tab G/N/O/P) defences shall be implemented.  Zero  Energy Verification is an absolute requirement.  Partial removal of LOTO needs to be carefully planned and communicated.</t>
  </si>
  <si>
    <t>Unplanned work scope</t>
  </si>
  <si>
    <t>STOP Work and re-evaluate TRA's and POWRA to ensure work scope deviation hazards are understood and mitigated..</t>
  </si>
  <si>
    <t>Use of Energy</t>
  </si>
  <si>
    <t>Ensure energy waste in minimized by shutting down equipment energy when not in use or using more energy efficient equipment.</t>
  </si>
  <si>
    <t>Correct Tooling and Tool holders should be in place and used by competent technicians.  Modified tools must be approved by engineering and all tools must be subject to pre-use inspection to ensure they are safe for use.</t>
  </si>
  <si>
    <t>UV Radiation</t>
  </si>
  <si>
    <t xml:space="preserve">IH Risk assessment should be in pace, communicated and acted upon.  Use Sunscreen, sheiding , and PPE (long sleeves, wide brimmed hats, uv resistant sunglasses/glasses </t>
  </si>
  <si>
    <t>Vehicle Operations</t>
  </si>
  <si>
    <t>Journey Management Planning and use of a Banks Person should be considered to mitigate risk.  360 walk around of vehicle should be conducted prior to use.</t>
  </si>
  <si>
    <t>Vibration</t>
  </si>
  <si>
    <t>IH Risk assessment should be in pace, communicated and acted upon.  Anti-vibration tools or PPE should be used as a priority where reasonable.</t>
  </si>
  <si>
    <t>Walking/Working Surface</t>
  </si>
  <si>
    <t>POWRA (P&amp;S Plan Tab S) should be used to mitigate risk from  slip, trip and fall hazards.  Housekeeping should be maintained to a high standard.</t>
  </si>
  <si>
    <t>Waste Generation</t>
  </si>
  <si>
    <t>Waste Management Plan should be in place.</t>
  </si>
  <si>
    <t>Weather</t>
  </si>
  <si>
    <t>POWRA (P&amp;S Plan Tab S) should be used to mitigate risk from adverse weather conditions</t>
  </si>
  <si>
    <t>Where a secure certified (e.g. Scaff tag) elevated work platform cannot be put in place then a safety harness with 100% tie-off to a secure structure must be used.</t>
  </si>
  <si>
    <t>Defenses</t>
  </si>
  <si>
    <t>Alarm</t>
  </si>
  <si>
    <t>Alternate Work Methods</t>
  </si>
  <si>
    <t>Approach/Restriction Boundaries</t>
  </si>
  <si>
    <t>Automate/Eliminate</t>
  </si>
  <si>
    <t>Barrier/Shielding</t>
  </si>
  <si>
    <t>Business Continuity Plan</t>
  </si>
  <si>
    <t>Buy Quiet Tool Purchasing policy (Lower noise tools)</t>
  </si>
  <si>
    <t>Certified Equipment</t>
  </si>
  <si>
    <t xml:space="preserve">Chemical Approval Process </t>
  </si>
  <si>
    <t>Chemical Management Program</t>
  </si>
  <si>
    <t xml:space="preserve">Chemical Risk Assessment </t>
  </si>
  <si>
    <t xml:space="preserve">Chemical Storage </t>
  </si>
  <si>
    <t>Communication</t>
  </si>
  <si>
    <t>Concern Report</t>
  </si>
  <si>
    <t>Containment Bunds</t>
  </si>
  <si>
    <t>Cooldown/Rest Area</t>
  </si>
  <si>
    <t xml:space="preserve">Correct Labelling </t>
  </si>
  <si>
    <t>Correct Tooling</t>
  </si>
  <si>
    <t>Dead Man Switch</t>
  </si>
  <si>
    <t>Designated Storage/Laydown</t>
  </si>
  <si>
    <t>Double Hearing Protection (Muffs + Plugs)</t>
  </si>
  <si>
    <t>Hearing Protection/Ear Defenders</t>
  </si>
  <si>
    <t>Ear Muffs</t>
  </si>
  <si>
    <t xml:space="preserve">Ear Plugs </t>
  </si>
  <si>
    <t>Electrical Protection Device</t>
  </si>
  <si>
    <t>Elevated Work Platform</t>
  </si>
  <si>
    <t xml:space="preserve">Eliminate </t>
  </si>
  <si>
    <t>Emergency Plan/Response</t>
  </si>
  <si>
    <t>Emergency Stop Button</t>
  </si>
  <si>
    <t>Emission Monitoring</t>
  </si>
  <si>
    <t>Equipment Selection</t>
  </si>
  <si>
    <t>Ergo Assessment</t>
  </si>
  <si>
    <t>Fall Arrest</t>
  </si>
  <si>
    <t>Finger Protectors</t>
  </si>
  <si>
    <t>Fire Equipment</t>
  </si>
  <si>
    <t>Fitness for Duty</t>
  </si>
  <si>
    <t>Gas Detectors</t>
  </si>
  <si>
    <t>Guarding</t>
  </si>
  <si>
    <t>Health Surveillance</t>
  </si>
  <si>
    <t xml:space="preserve">Health Surveillance - Skin Surveillance </t>
  </si>
  <si>
    <t>Hearing Protection</t>
  </si>
  <si>
    <t xml:space="preserve">Housekeeping - Chemicals </t>
  </si>
  <si>
    <t xml:space="preserve">Housekeeping Program </t>
  </si>
  <si>
    <t>Hydration Program</t>
  </si>
  <si>
    <t>Industrial Hygiene Program</t>
  </si>
  <si>
    <t>Insulated Tools</t>
  </si>
  <si>
    <t>Interlock(s)</t>
  </si>
  <si>
    <t>Job Rotation</t>
  </si>
  <si>
    <t>Journey Management</t>
  </si>
  <si>
    <t>Laydown Planning</t>
  </si>
  <si>
    <t>LEV</t>
  </si>
  <si>
    <t>Life Vest</t>
  </si>
  <si>
    <t>Lift Plan</t>
  </si>
  <si>
    <t>Lifting Aid</t>
  </si>
  <si>
    <t>Lighting</t>
  </si>
  <si>
    <t>LOTO</t>
  </si>
  <si>
    <t>Low Vibration Purchasing Policy</t>
  </si>
  <si>
    <t>Low Vibration Tool</t>
  </si>
  <si>
    <t>Maintenance</t>
  </si>
  <si>
    <t>Management of Change</t>
  </si>
  <si>
    <t>Manual Handling Technique</t>
  </si>
  <si>
    <t xml:space="preserve">Noise Assessment </t>
  </si>
  <si>
    <t xml:space="preserve">Noise Dampening Material </t>
  </si>
  <si>
    <t xml:space="preserve">Noise Monitoring </t>
  </si>
  <si>
    <t>Noise Refuge / Booth</t>
  </si>
  <si>
    <t>Oil Separators</t>
  </si>
  <si>
    <t xml:space="preserve">Padding (Edge &amp; Floor) </t>
  </si>
  <si>
    <t>Peer checking</t>
  </si>
  <si>
    <t>Permits</t>
  </si>
  <si>
    <t>Personal Vibration Logging (e.g. Booklets)</t>
  </si>
  <si>
    <t>Physical Fitness Program</t>
  </si>
  <si>
    <t>POWGA  (Grinding)</t>
  </si>
  <si>
    <t>POWLA (Lifting)</t>
  </si>
  <si>
    <t>POWRA</t>
  </si>
  <si>
    <t>PPE</t>
  </si>
  <si>
    <t>PPE Gloves</t>
  </si>
  <si>
    <t>Pre-use inspection</t>
  </si>
  <si>
    <t>Preventative Maintenance</t>
  </si>
  <si>
    <t>Qualified Third Party</t>
  </si>
  <si>
    <t>Reduce Weight (Split Load/divide)</t>
  </si>
  <si>
    <t>Rest &amp; Recovery</t>
  </si>
  <si>
    <t>Risk Assessment</t>
  </si>
  <si>
    <t xml:space="preserve">Risk Assessment Review </t>
  </si>
  <si>
    <t>Robot/Drone</t>
  </si>
  <si>
    <t>RPE-Respirator</t>
  </si>
  <si>
    <t>Safety Relief Valve</t>
  </si>
  <si>
    <t>Safety Signs</t>
  </si>
  <si>
    <t>SDS (Safety Data Sheet)</t>
  </si>
  <si>
    <t>Security Plan</t>
  </si>
  <si>
    <t>Sentry (attendant)</t>
  </si>
  <si>
    <t>Sharp Edge Padding</t>
  </si>
  <si>
    <t>Spill Prevention Kits</t>
  </si>
  <si>
    <t>Stop Work</t>
  </si>
  <si>
    <t>Stretching</t>
  </si>
  <si>
    <t>Substitution</t>
  </si>
  <si>
    <t>Supervisory Oversight</t>
  </si>
  <si>
    <t>Teamwork (Multi-person)</t>
  </si>
  <si>
    <t>Time Limitation/Freq Breaks</t>
  </si>
  <si>
    <t>Tool Bag/Belt/Holder</t>
  </si>
  <si>
    <t>Tool Tagging</t>
  </si>
  <si>
    <t>Vaccination</t>
  </si>
  <si>
    <t>Ventilation / LEV (Local Exhaust Extraction)</t>
  </si>
  <si>
    <t>Vibration Management</t>
  </si>
  <si>
    <t>Waste Management Plan</t>
  </si>
  <si>
    <t>Wearable sensor</t>
  </si>
  <si>
    <t>Wind Speed Monitor</t>
  </si>
  <si>
    <t>Work Instruction</t>
  </si>
  <si>
    <t xml:space="preserve">Work Schedules </t>
  </si>
  <si>
    <t xml:space="preserve">#ADD New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</si>
</sst>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m\-yyyy"/>
    <numFmt numFmtId="165" formatCode="0.0"/>
  </numFmts>
  <fonts count="42">
    <font>
      <sz val="11"/>
      <color theme="1"/>
      <name val="Calibri"/>
      <family val="2"/>
      <scheme val="minor"/>
    </font>
    <font>
      <sz val="8"/>
      <color theme="1"/>
      <name val="Calibri"/>
      <family val="2"/>
      <scheme val="minor"/>
    </font>
    <font>
      <sz val="9"/>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4"/>
      <color theme="0"/>
      <name val="Calibri"/>
      <family val="2"/>
      <scheme val="minor"/>
    </font>
    <font>
      <b/>
      <sz val="16"/>
      <color theme="0"/>
      <name val="Calibri"/>
      <family val="2"/>
      <scheme val="minor"/>
    </font>
    <font>
      <b/>
      <sz val="12"/>
      <color theme="1"/>
      <name val="Calibri"/>
      <family val="2"/>
      <scheme val="minor"/>
    </font>
    <font>
      <sz val="16"/>
      <color theme="0"/>
      <name val="Calibri"/>
      <family val="2"/>
      <scheme val="minor"/>
    </font>
    <font>
      <i/>
      <sz val="10"/>
      <color theme="1"/>
      <name val="Calibri"/>
      <family val="2"/>
      <scheme val="minor"/>
    </font>
    <font>
      <sz val="11"/>
      <name val="Calibri"/>
      <family val="2"/>
      <scheme val="minor"/>
    </font>
    <font>
      <b/>
      <sz val="14"/>
      <color theme="0"/>
      <name val="Calibri"/>
      <family val="2"/>
      <scheme val="minor"/>
    </font>
    <font>
      <i/>
      <sz val="10"/>
      <color theme="0" tint="-0.499984740745262"/>
      <name val="Calibri"/>
      <family val="2"/>
      <scheme val="minor"/>
    </font>
    <font>
      <b/>
      <sz val="9"/>
      <color theme="1"/>
      <name val="Gotham Rounded Book"/>
      <family val="3"/>
    </font>
    <font>
      <sz val="9"/>
      <name val="Calibri"/>
      <family val="2"/>
      <scheme val="minor"/>
    </font>
    <font>
      <i/>
      <sz val="11"/>
      <color theme="0" tint="-0.499984740745262"/>
      <name val="Calibri"/>
      <family val="2"/>
      <scheme val="minor"/>
    </font>
    <font>
      <sz val="10"/>
      <name val="Times New Roman"/>
      <family val="1"/>
    </font>
    <font>
      <sz val="10"/>
      <name val="Gotham Rounded Book"/>
      <family val="3"/>
    </font>
    <font>
      <b/>
      <u/>
      <sz val="10"/>
      <name val="Gotham Rounded Book"/>
      <family val="3"/>
    </font>
    <font>
      <sz val="8"/>
      <name val="Calibri"/>
      <family val="2"/>
      <scheme val="minor"/>
    </font>
    <font>
      <sz val="8"/>
      <color theme="1"/>
      <name val="Montserrat"/>
    </font>
    <font>
      <sz val="5"/>
      <color theme="1"/>
      <name val="Montserrat"/>
    </font>
    <font>
      <sz val="10"/>
      <color theme="1"/>
      <name val="Montserrat SemiBold"/>
    </font>
    <font>
      <sz val="12"/>
      <color theme="1"/>
      <name val="Montserrat SemiBold"/>
    </font>
    <font>
      <sz val="8"/>
      <color theme="1"/>
      <name val="Montserrat SemiBold"/>
    </font>
    <font>
      <sz val="7"/>
      <color theme="1"/>
      <name val="Montserrat SemiBold"/>
    </font>
    <font>
      <sz val="7"/>
      <color theme="0"/>
      <name val="Montserrat"/>
    </font>
    <font>
      <sz val="7"/>
      <color theme="1"/>
      <name val="Montserrat"/>
    </font>
    <font>
      <sz val="6"/>
      <color theme="1"/>
      <name val="Montserrat"/>
    </font>
    <font>
      <sz val="6"/>
      <color theme="0"/>
      <name val="Montserrat"/>
    </font>
    <font>
      <sz val="6"/>
      <color theme="1"/>
      <name val="Montserrat SemiBold"/>
    </font>
    <font>
      <sz val="11"/>
      <color theme="1"/>
      <name val="Montserrat SemiBold"/>
    </font>
    <font>
      <sz val="7"/>
      <color theme="0"/>
      <name val="Montserrat SemiBold"/>
    </font>
    <font>
      <b/>
      <sz val="7"/>
      <color theme="1"/>
      <name val="Montserrat SemiBold"/>
    </font>
    <font>
      <sz val="10"/>
      <name val="Montserrat"/>
    </font>
    <font>
      <sz val="10"/>
      <color theme="1"/>
      <name val="Montserrat"/>
    </font>
    <font>
      <b/>
      <sz val="10"/>
      <color theme="1"/>
      <name val="Montserrat"/>
    </font>
    <font>
      <b/>
      <sz val="7"/>
      <color theme="1"/>
      <name val="Montserrat"/>
    </font>
    <font>
      <b/>
      <sz val="7"/>
      <name val="Montserrat"/>
    </font>
    <font>
      <sz val="7"/>
      <name val="Montserrat"/>
    </font>
  </fonts>
  <fills count="14">
    <fill>
      <patternFill patternType="none"/>
    </fill>
    <fill>
      <patternFill patternType="gray125"/>
    </fill>
    <fill>
      <patternFill patternType="solid">
        <fgColor theme="2" tint="-9.9978637043366805E-2"/>
        <bgColor indexed="64"/>
      </patternFill>
    </fill>
    <fill>
      <patternFill patternType="solid">
        <fgColor theme="0"/>
        <bgColor indexed="64"/>
      </patternFill>
    </fill>
    <fill>
      <patternFill patternType="solid">
        <fgColor rgb="FFFF0000"/>
        <bgColor indexed="64"/>
      </patternFill>
    </fill>
    <fill>
      <patternFill patternType="solid">
        <fgColor rgb="FF00B050"/>
        <bgColor indexed="64"/>
      </patternFill>
    </fill>
    <fill>
      <patternFill patternType="solid">
        <fgColor rgb="FF002060"/>
        <bgColor indexed="64"/>
      </patternFill>
    </fill>
    <fill>
      <patternFill patternType="solid">
        <fgColor theme="8" tint="0.79998168889431442"/>
        <bgColor indexed="64"/>
      </patternFill>
    </fill>
    <fill>
      <patternFill patternType="solid">
        <fgColor rgb="FF003760"/>
        <bgColor indexed="64"/>
      </patternFill>
    </fill>
    <fill>
      <patternFill patternType="solid">
        <fgColor theme="0" tint="-0.14999847407452621"/>
        <bgColor indexed="64"/>
      </patternFill>
    </fill>
    <fill>
      <patternFill patternType="solid">
        <fgColor rgb="FF003399"/>
        <bgColor indexed="64"/>
      </patternFill>
    </fill>
    <fill>
      <patternFill patternType="solid">
        <fgColor theme="4" tint="0.79998168889431442"/>
        <bgColor indexed="64"/>
      </patternFill>
    </fill>
    <fill>
      <patternFill patternType="solid">
        <fgColor rgb="FFFFFF00"/>
        <bgColor indexed="64"/>
      </patternFill>
    </fill>
    <fill>
      <patternFill patternType="solid">
        <fgColor theme="7"/>
        <bgColor indexed="64"/>
      </patternFill>
    </fill>
  </fills>
  <borders count="75">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diagonalDown="1">
      <left style="thin">
        <color indexed="64"/>
      </left>
      <right style="thin">
        <color indexed="64"/>
      </right>
      <top/>
      <bottom style="thin">
        <color indexed="64"/>
      </bottom>
      <diagonal style="thin">
        <color indexed="64"/>
      </diagonal>
    </border>
    <border>
      <left/>
      <right style="thin">
        <color indexed="64"/>
      </right>
      <top/>
      <bottom style="thin">
        <color indexed="64"/>
      </bottom>
      <diagonal/>
    </border>
    <border>
      <left style="thin">
        <color indexed="64"/>
      </left>
      <right/>
      <top/>
      <bottom style="thin">
        <color indexed="64"/>
      </bottom>
      <diagonal/>
    </border>
    <border diagonalDown="1">
      <left style="thin">
        <color indexed="64"/>
      </left>
      <right style="thin">
        <color indexed="64"/>
      </right>
      <top/>
      <bottom/>
      <diagonal style="thin">
        <color indexed="64"/>
      </diagonal>
    </border>
    <border>
      <left/>
      <right style="thin">
        <color indexed="64"/>
      </right>
      <top style="thin">
        <color indexed="64"/>
      </top>
      <bottom/>
      <diagonal/>
    </border>
    <border>
      <left style="thin">
        <color indexed="64"/>
      </left>
      <right/>
      <top style="thin">
        <color indexed="64"/>
      </top>
      <bottom/>
      <diagonal/>
    </border>
    <border diagonalDown="1">
      <left style="thin">
        <color indexed="64"/>
      </left>
      <right style="thin">
        <color indexed="64"/>
      </right>
      <top style="thin">
        <color indexed="64"/>
      </top>
      <bottom/>
      <diagonal style="thin">
        <color indexed="64"/>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thin">
        <color indexed="64"/>
      </right>
      <top/>
      <bottom style="medium">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bottom/>
      <diagonal/>
    </border>
  </borders>
  <cellStyleXfs count="6">
    <xf numFmtId="0" fontId="0" fillId="0" borderId="0"/>
    <xf numFmtId="0" fontId="3" fillId="0" borderId="0"/>
    <xf numFmtId="0" fontId="3" fillId="0" borderId="0"/>
    <xf numFmtId="0" fontId="18" fillId="0" borderId="0"/>
    <xf numFmtId="0" fontId="3" fillId="0" borderId="0"/>
    <xf numFmtId="0" fontId="3" fillId="0" borderId="0"/>
  </cellStyleXfs>
  <cellXfs count="299">
    <xf numFmtId="0" fontId="0" fillId="0" borderId="0" xfId="0"/>
    <xf numFmtId="0" fontId="3" fillId="0" borderId="0" xfId="1"/>
    <xf numFmtId="0" fontId="3" fillId="3" borderId="0" xfId="1" applyFill="1"/>
    <xf numFmtId="0" fontId="3" fillId="0" borderId="0" xfId="1" applyAlignment="1">
      <alignment vertical="center" wrapText="1"/>
    </xf>
    <xf numFmtId="0" fontId="6" fillId="3" borderId="0" xfId="1" applyFont="1" applyFill="1"/>
    <xf numFmtId="0" fontId="3" fillId="3" borderId="0" xfId="1" applyFill="1" applyAlignment="1">
      <alignment vertical="center" wrapText="1"/>
    </xf>
    <xf numFmtId="0" fontId="3" fillId="3" borderId="0" xfId="1" applyFill="1" applyAlignment="1">
      <alignment horizontal="center" vertical="center"/>
    </xf>
    <xf numFmtId="0" fontId="8" fillId="4" borderId="5" xfId="1" applyFont="1" applyFill="1" applyBorder="1" applyAlignment="1">
      <alignment horizontal="center" vertical="center" wrapText="1"/>
    </xf>
    <xf numFmtId="0" fontId="8" fillId="5" borderId="5" xfId="1" applyFont="1" applyFill="1" applyBorder="1" applyAlignment="1">
      <alignment horizontal="center" vertical="center" wrapText="1"/>
    </xf>
    <xf numFmtId="0" fontId="5" fillId="7" borderId="5" xfId="1" applyFont="1" applyFill="1" applyBorder="1" applyAlignment="1">
      <alignment horizontal="center" vertical="center" wrapText="1"/>
    </xf>
    <xf numFmtId="0" fontId="10" fillId="3" borderId="0" xfId="1" applyFont="1" applyFill="1" applyAlignment="1">
      <alignment horizontal="center" vertical="center"/>
    </xf>
    <xf numFmtId="0" fontId="8" fillId="8" borderId="5" xfId="1" applyFont="1" applyFill="1" applyBorder="1" applyAlignment="1">
      <alignment horizontal="center" vertical="center" wrapText="1"/>
    </xf>
    <xf numFmtId="0" fontId="4" fillId="8" borderId="5" xfId="1" applyFont="1" applyFill="1" applyBorder="1" applyAlignment="1">
      <alignment horizontal="center" vertical="center" wrapText="1"/>
    </xf>
    <xf numFmtId="0" fontId="13" fillId="8" borderId="5" xfId="1" applyFont="1" applyFill="1" applyBorder="1" applyAlignment="1">
      <alignment horizontal="center" vertical="center"/>
    </xf>
    <xf numFmtId="0" fontId="4" fillId="4" borderId="5" xfId="1" applyFont="1" applyFill="1" applyBorder="1" applyAlignment="1">
      <alignment horizontal="center" vertical="center" wrapText="1"/>
    </xf>
    <xf numFmtId="49" fontId="13" fillId="4" borderId="5" xfId="1" applyNumberFormat="1" applyFont="1" applyFill="1" applyBorder="1" applyAlignment="1">
      <alignment horizontal="center" vertical="center"/>
    </xf>
    <xf numFmtId="0" fontId="4" fillId="5" borderId="5" xfId="1" applyFont="1" applyFill="1" applyBorder="1" applyAlignment="1">
      <alignment horizontal="center" vertical="center" wrapText="1"/>
    </xf>
    <xf numFmtId="49" fontId="13" fillId="5" borderId="5" xfId="1" applyNumberFormat="1" applyFont="1" applyFill="1" applyBorder="1" applyAlignment="1">
      <alignment horizontal="center" vertical="center"/>
    </xf>
    <xf numFmtId="0" fontId="3" fillId="0" borderId="0" xfId="2"/>
    <xf numFmtId="0" fontId="3" fillId="3" borderId="0" xfId="2" applyFill="1"/>
    <xf numFmtId="0" fontId="12" fillId="3" borderId="0" xfId="2" applyFont="1" applyFill="1"/>
    <xf numFmtId="0" fontId="3" fillId="0" borderId="20" xfId="2" applyBorder="1" applyAlignment="1">
      <alignment vertical="center"/>
    </xf>
    <xf numFmtId="3" fontId="3" fillId="0" borderId="33" xfId="2" applyNumberFormat="1" applyBorder="1" applyAlignment="1">
      <alignment horizontal="center"/>
    </xf>
    <xf numFmtId="3" fontId="3" fillId="0" borderId="43" xfId="2" applyNumberFormat="1" applyBorder="1" applyAlignment="1">
      <alignment horizontal="center"/>
    </xf>
    <xf numFmtId="0" fontId="3" fillId="0" borderId="42" xfId="2" applyBorder="1" applyAlignment="1">
      <alignment horizontal="center"/>
    </xf>
    <xf numFmtId="1" fontId="3" fillId="0" borderId="46" xfId="2" applyNumberFormat="1" applyBorder="1" applyAlignment="1">
      <alignment horizontal="center"/>
    </xf>
    <xf numFmtId="1" fontId="3" fillId="0" borderId="47" xfId="2" applyNumberFormat="1" applyBorder="1" applyAlignment="1">
      <alignment horizontal="center"/>
    </xf>
    <xf numFmtId="0" fontId="3" fillId="0" borderId="48" xfId="2" applyBorder="1"/>
    <xf numFmtId="0" fontId="3" fillId="0" borderId="20" xfId="2" applyBorder="1"/>
    <xf numFmtId="0" fontId="3" fillId="0" borderId="49" xfId="2" applyBorder="1"/>
    <xf numFmtId="0" fontId="3" fillId="0" borderId="1" xfId="2" applyBorder="1" applyAlignment="1">
      <alignment horizontal="center"/>
    </xf>
    <xf numFmtId="0" fontId="3" fillId="0" borderId="49" xfId="2" applyBorder="1" applyAlignment="1">
      <alignment horizontal="center"/>
    </xf>
    <xf numFmtId="0" fontId="3" fillId="0" borderId="1" xfId="2" applyBorder="1"/>
    <xf numFmtId="0" fontId="2" fillId="0" borderId="5" xfId="1" applyFont="1" applyBorder="1" applyAlignment="1">
      <alignment horizontal="center" vertical="center" wrapText="1"/>
    </xf>
    <xf numFmtId="0" fontId="15" fillId="11" borderId="5" xfId="1" applyFont="1" applyFill="1" applyBorder="1" applyAlignment="1">
      <alignment horizontal="center" vertical="center"/>
    </xf>
    <xf numFmtId="0" fontId="14" fillId="9" borderId="5" xfId="1" applyFont="1" applyFill="1" applyBorder="1" applyAlignment="1">
      <alignment horizontal="center" vertical="center" wrapText="1"/>
    </xf>
    <xf numFmtId="0" fontId="15" fillId="7" borderId="5" xfId="1" applyFont="1" applyFill="1" applyBorder="1" applyAlignment="1">
      <alignment horizontal="center" vertical="center"/>
    </xf>
    <xf numFmtId="0" fontId="2" fillId="0" borderId="5" xfId="1" applyFont="1" applyBorder="1" applyAlignment="1">
      <alignment horizontal="center" vertical="top" wrapText="1"/>
    </xf>
    <xf numFmtId="0" fontId="16" fillId="0" borderId="40" xfId="1" applyFont="1" applyBorder="1" applyAlignment="1">
      <alignment horizontal="center" vertical="center" wrapText="1"/>
    </xf>
    <xf numFmtId="0" fontId="15" fillId="9" borderId="5" xfId="1" applyFont="1" applyFill="1" applyBorder="1" applyAlignment="1">
      <alignment horizontal="center" vertical="center"/>
    </xf>
    <xf numFmtId="0" fontId="15" fillId="11" borderId="5" xfId="1" applyFont="1" applyFill="1" applyBorder="1" applyAlignment="1">
      <alignment horizontal="center" vertical="center" wrapText="1"/>
    </xf>
    <xf numFmtId="0" fontId="17" fillId="9" borderId="19" xfId="1" applyFont="1" applyFill="1" applyBorder="1" applyAlignment="1">
      <alignment horizontal="center" vertical="center" wrapText="1"/>
    </xf>
    <xf numFmtId="0" fontId="18" fillId="0" borderId="0" xfId="3"/>
    <xf numFmtId="0" fontId="18" fillId="3" borderId="0" xfId="3" applyFill="1"/>
    <xf numFmtId="0" fontId="20" fillId="3" borderId="0" xfId="3" applyFont="1" applyFill="1" applyAlignment="1">
      <alignment vertical="top"/>
    </xf>
    <xf numFmtId="0" fontId="0" fillId="0" borderId="5" xfId="1" applyFont="1" applyBorder="1" applyAlignment="1">
      <alignment horizontal="center" vertical="center" wrapText="1"/>
    </xf>
    <xf numFmtId="0" fontId="0" fillId="0" borderId="6" xfId="1" applyFont="1" applyBorder="1" applyAlignment="1">
      <alignment horizontal="center" vertical="center" wrapText="1"/>
    </xf>
    <xf numFmtId="0" fontId="3" fillId="0" borderId="43" xfId="2" applyBorder="1"/>
    <xf numFmtId="0" fontId="3" fillId="0" borderId="54" xfId="2" applyBorder="1"/>
    <xf numFmtId="0" fontId="3" fillId="0" borderId="43" xfId="2" applyBorder="1" applyAlignment="1">
      <alignment vertical="center"/>
    </xf>
    <xf numFmtId="0" fontId="3" fillId="0" borderId="54" xfId="2" applyBorder="1" applyAlignment="1">
      <alignment vertical="center"/>
    </xf>
    <xf numFmtId="0" fontId="6" fillId="10" borderId="43" xfId="2" applyFont="1" applyFill="1" applyBorder="1"/>
    <xf numFmtId="0" fontId="1" fillId="3" borderId="0" xfId="2" applyFont="1" applyFill="1"/>
    <xf numFmtId="0" fontId="30" fillId="0" borderId="29" xfId="0" applyFont="1" applyBorder="1" applyAlignment="1">
      <alignment horizontal="center" vertical="center"/>
    </xf>
    <xf numFmtId="0" fontId="30" fillId="0" borderId="18" xfId="0" applyFont="1" applyBorder="1" applyAlignment="1">
      <alignment horizontal="center" vertical="center"/>
    </xf>
    <xf numFmtId="0" fontId="30" fillId="2" borderId="31" xfId="0" applyFont="1" applyFill="1" applyBorder="1" applyAlignment="1">
      <alignment vertical="center" textRotation="90"/>
    </xf>
    <xf numFmtId="0" fontId="31" fillId="4" borderId="11" xfId="0" applyFont="1" applyFill="1" applyBorder="1" applyAlignment="1">
      <alignment horizontal="center" vertical="center"/>
    </xf>
    <xf numFmtId="0" fontId="31" fillId="6" borderId="12" xfId="0" applyFont="1" applyFill="1" applyBorder="1" applyAlignment="1">
      <alignment horizontal="center" vertical="center"/>
    </xf>
    <xf numFmtId="0" fontId="31" fillId="6" borderId="30" xfId="0" applyFont="1" applyFill="1" applyBorder="1" applyAlignment="1">
      <alignment horizontal="center" vertical="center"/>
    </xf>
    <xf numFmtId="0" fontId="31" fillId="4" borderId="28" xfId="0" applyFont="1" applyFill="1" applyBorder="1" applyAlignment="1">
      <alignment horizontal="center" vertical="center"/>
    </xf>
    <xf numFmtId="0" fontId="31" fillId="4" borderId="5" xfId="0" applyFont="1" applyFill="1" applyBorder="1" applyAlignment="1">
      <alignment horizontal="center" vertical="center"/>
    </xf>
    <xf numFmtId="0" fontId="31" fillId="6" borderId="5" xfId="0" applyFont="1" applyFill="1" applyBorder="1" applyAlignment="1">
      <alignment horizontal="center" vertical="center"/>
    </xf>
    <xf numFmtId="0" fontId="31" fillId="6" borderId="6" xfId="0" applyFont="1" applyFill="1" applyBorder="1" applyAlignment="1">
      <alignment horizontal="center" vertical="center"/>
    </xf>
    <xf numFmtId="0" fontId="31" fillId="5" borderId="28" xfId="0" applyFont="1" applyFill="1" applyBorder="1" applyAlignment="1">
      <alignment horizontal="center" vertical="center"/>
    </xf>
    <xf numFmtId="0" fontId="31" fillId="5" borderId="5" xfId="0" applyFont="1" applyFill="1" applyBorder="1" applyAlignment="1">
      <alignment horizontal="center" vertical="center"/>
    </xf>
    <xf numFmtId="0" fontId="31" fillId="5" borderId="14" xfId="0" applyFont="1" applyFill="1" applyBorder="1" applyAlignment="1">
      <alignment horizontal="center" vertical="center"/>
    </xf>
    <xf numFmtId="0" fontId="31" fillId="5" borderId="15" xfId="0" applyFont="1" applyFill="1" applyBorder="1" applyAlignment="1">
      <alignment horizontal="center" vertical="center"/>
    </xf>
    <xf numFmtId="0" fontId="31" fillId="4" borderId="15" xfId="0" applyFont="1" applyFill="1" applyBorder="1" applyAlignment="1">
      <alignment horizontal="center" vertical="center"/>
    </xf>
    <xf numFmtId="0" fontId="31" fillId="6" borderId="16" xfId="0" applyFont="1" applyFill="1" applyBorder="1" applyAlignment="1">
      <alignment horizontal="center" vertical="center"/>
    </xf>
    <xf numFmtId="0" fontId="32" fillId="0" borderId="28" xfId="0" applyFont="1" applyBorder="1" applyAlignment="1">
      <alignment horizontal="center" vertical="center"/>
    </xf>
    <xf numFmtId="0" fontId="32" fillId="0" borderId="14" xfId="0" applyFont="1" applyBorder="1" applyAlignment="1">
      <alignment horizontal="center" vertical="center"/>
    </xf>
    <xf numFmtId="0" fontId="28" fillId="0" borderId="10" xfId="0" applyFont="1" applyBorder="1" applyAlignment="1">
      <alignment horizontal="center" vertical="center" wrapText="1"/>
    </xf>
    <xf numFmtId="0" fontId="29" fillId="0" borderId="28" xfId="0" applyFont="1" applyBorder="1" applyAlignment="1">
      <alignment horizontal="center" vertical="center" wrapText="1"/>
    </xf>
    <xf numFmtId="0" fontId="22" fillId="0" borderId="28" xfId="0" applyFont="1" applyBorder="1" applyAlignment="1">
      <alignment horizontal="center" vertical="center" wrapText="1"/>
    </xf>
    <xf numFmtId="0" fontId="0" fillId="3" borderId="0" xfId="0" applyFill="1"/>
    <xf numFmtId="0" fontId="32" fillId="3" borderId="0" xfId="0" applyFont="1" applyFill="1" applyAlignment="1">
      <alignment horizontal="center" vertical="center"/>
    </xf>
    <xf numFmtId="0" fontId="32" fillId="3" borderId="27" xfId="0" applyFont="1" applyFill="1" applyBorder="1" applyAlignment="1">
      <alignment horizontal="center" vertical="center"/>
    </xf>
    <xf numFmtId="0" fontId="0" fillId="3" borderId="32" xfId="0" applyFill="1" applyBorder="1"/>
    <xf numFmtId="0" fontId="29" fillId="0" borderId="20" xfId="0" applyFont="1" applyBorder="1" applyAlignment="1">
      <alignment horizontal="left"/>
    </xf>
    <xf numFmtId="0" fontId="29" fillId="0" borderId="3" xfId="0" applyFont="1" applyBorder="1" applyAlignment="1">
      <alignment horizontal="left"/>
    </xf>
    <xf numFmtId="0" fontId="26" fillId="2" borderId="16" xfId="0" applyFont="1" applyFill="1" applyBorder="1" applyAlignment="1">
      <alignment horizontal="center" vertical="center"/>
    </xf>
    <xf numFmtId="0" fontId="26" fillId="2" borderId="15" xfId="0" applyFont="1" applyFill="1" applyBorder="1" applyAlignment="1">
      <alignment horizontal="center" vertical="center"/>
    </xf>
    <xf numFmtId="0" fontId="29" fillId="0" borderId="11" xfId="0" applyFont="1" applyBorder="1" applyAlignment="1">
      <alignment horizontal="center" vertical="center" wrapText="1"/>
    </xf>
    <xf numFmtId="0" fontId="29" fillId="0" borderId="12" xfId="0" applyFont="1" applyBorder="1" applyAlignment="1">
      <alignment horizontal="center" vertical="center" wrapText="1"/>
    </xf>
    <xf numFmtId="0" fontId="28" fillId="0" borderId="12" xfId="0" applyFont="1" applyBorder="1" applyAlignment="1">
      <alignment horizontal="center" vertical="center" wrapText="1"/>
    </xf>
    <xf numFmtId="0" fontId="28" fillId="0" borderId="30" xfId="0" applyFont="1" applyBorder="1" applyAlignment="1">
      <alignment horizontal="center" vertical="center" wrapText="1"/>
    </xf>
    <xf numFmtId="0" fontId="28" fillId="0" borderId="37" xfId="0" applyFont="1" applyBorder="1" applyAlignment="1">
      <alignment horizontal="center" vertical="center" wrapText="1"/>
    </xf>
    <xf numFmtId="0" fontId="28" fillId="0" borderId="13" xfId="0" applyFont="1" applyBorder="1" applyAlignment="1">
      <alignment horizontal="center" vertical="center" wrapText="1"/>
    </xf>
    <xf numFmtId="0" fontId="28" fillId="0" borderId="69" xfId="0" applyFont="1" applyBorder="1" applyAlignment="1">
      <alignment horizontal="center" vertical="center" wrapText="1"/>
    </xf>
    <xf numFmtId="0" fontId="26" fillId="2" borderId="42" xfId="0" applyFont="1" applyFill="1" applyBorder="1" applyAlignment="1">
      <alignment horizontal="center" vertical="center"/>
    </xf>
    <xf numFmtId="0" fontId="32" fillId="0" borderId="11" xfId="0" applyFont="1" applyBorder="1" applyAlignment="1">
      <alignment horizontal="center" vertical="center"/>
    </xf>
    <xf numFmtId="0" fontId="30" fillId="0" borderId="13" xfId="0" applyFont="1" applyBorder="1" applyAlignment="1">
      <alignment horizontal="center" vertical="center"/>
    </xf>
    <xf numFmtId="0" fontId="30" fillId="0" borderId="11" xfId="0" applyFont="1" applyBorder="1" applyAlignment="1">
      <alignment horizontal="center" vertical="center"/>
    </xf>
    <xf numFmtId="0" fontId="30" fillId="0" borderId="28" xfId="0" applyFont="1" applyBorder="1" applyAlignment="1">
      <alignment horizontal="center" vertical="center"/>
    </xf>
    <xf numFmtId="0" fontId="30" fillId="0" borderId="14" xfId="0" applyFont="1" applyBorder="1" applyAlignment="1">
      <alignment horizontal="center" vertical="center"/>
    </xf>
    <xf numFmtId="0" fontId="29" fillId="0" borderId="12" xfId="0" applyFont="1" applyBorder="1" applyAlignment="1">
      <alignment horizontal="left" vertical="center" wrapText="1"/>
    </xf>
    <xf numFmtId="0" fontId="36" fillId="0" borderId="5" xfId="3" applyFont="1" applyBorder="1"/>
    <xf numFmtId="0" fontId="36" fillId="0" borderId="0" xfId="3" applyFont="1" applyAlignment="1">
      <alignment horizontal="center"/>
    </xf>
    <xf numFmtId="0" fontId="36" fillId="0" borderId="0" xfId="3" applyFont="1"/>
    <xf numFmtId="0" fontId="36" fillId="12" borderId="5" xfId="3" applyFont="1" applyFill="1" applyBorder="1"/>
    <xf numFmtId="0" fontId="36" fillId="0" borderId="5" xfId="4" applyFont="1" applyBorder="1"/>
    <xf numFmtId="0" fontId="37" fillId="0" borderId="5" xfId="5" applyFont="1" applyBorder="1"/>
    <xf numFmtId="0" fontId="37" fillId="0" borderId="5" xfId="5" applyFont="1" applyBorder="1" applyAlignment="1">
      <alignment vertical="center" wrapText="1"/>
    </xf>
    <xf numFmtId="0" fontId="37" fillId="0" borderId="0" xfId="4" applyFont="1"/>
    <xf numFmtId="0" fontId="38" fillId="0" borderId="0" xfId="4" applyFont="1"/>
    <xf numFmtId="0" fontId="37" fillId="0" borderId="0" xfId="4" applyFont="1" applyAlignment="1">
      <alignment vertical="center" wrapText="1"/>
    </xf>
    <xf numFmtId="0" fontId="37" fillId="0" borderId="5" xfId="4" applyFont="1" applyBorder="1"/>
    <xf numFmtId="0" fontId="37" fillId="12" borderId="5" xfId="5" applyFont="1" applyFill="1" applyBorder="1"/>
    <xf numFmtId="0" fontId="29" fillId="0" borderId="28" xfId="0" applyFont="1" applyBorder="1" applyAlignment="1">
      <alignment horizontal="left" vertical="center" wrapText="1"/>
    </xf>
    <xf numFmtId="0" fontId="28" fillId="0" borderId="10" xfId="0" applyFont="1" applyBorder="1" applyAlignment="1">
      <alignment horizontal="left" vertical="center" wrapText="1"/>
    </xf>
    <xf numFmtId="0" fontId="29" fillId="0" borderId="11" xfId="0" applyFont="1" applyBorder="1" applyAlignment="1">
      <alignment horizontal="left" vertical="center" wrapText="1"/>
    </xf>
    <xf numFmtId="0" fontId="0" fillId="3" borderId="0" xfId="0" applyFill="1" applyAlignment="1">
      <alignment horizontal="left"/>
    </xf>
    <xf numFmtId="0" fontId="0" fillId="0" borderId="0" xfId="0" applyAlignment="1">
      <alignment horizontal="left"/>
    </xf>
    <xf numFmtId="0" fontId="39" fillId="0" borderId="42" xfId="0" applyFont="1" applyBorder="1" applyAlignment="1">
      <alignment horizontal="left" vertical="center" wrapText="1"/>
    </xf>
    <xf numFmtId="0" fontId="39" fillId="0" borderId="47" xfId="0" applyFont="1" applyBorder="1" applyAlignment="1">
      <alignment horizontal="left" vertical="center" wrapText="1"/>
    </xf>
    <xf numFmtId="0" fontId="39" fillId="0" borderId="60" xfId="0" applyFont="1" applyBorder="1" applyAlignment="1">
      <alignment horizontal="left" vertical="center" wrapText="1"/>
    </xf>
    <xf numFmtId="0" fontId="27" fillId="2" borderId="20" xfId="0" applyFont="1" applyFill="1" applyBorder="1" applyAlignment="1">
      <alignment horizontal="left"/>
    </xf>
    <xf numFmtId="0" fontId="27" fillId="2" borderId="21" xfId="0" applyFont="1" applyFill="1" applyBorder="1" applyAlignment="1">
      <alignment horizontal="left"/>
    </xf>
    <xf numFmtId="0" fontId="27" fillId="2" borderId="50" xfId="0" applyFont="1" applyFill="1" applyBorder="1" applyAlignment="1">
      <alignment horizontal="left"/>
    </xf>
    <xf numFmtId="0" fontId="29" fillId="3" borderId="33" xfId="0" applyFont="1" applyFill="1" applyBorder="1" applyAlignment="1">
      <alignment horizontal="left" vertical="center" wrapText="1"/>
    </xf>
    <xf numFmtId="0" fontId="29" fillId="3" borderId="73" xfId="0" applyFont="1" applyFill="1" applyBorder="1" applyAlignment="1">
      <alignment horizontal="left" vertical="center" wrapText="1"/>
    </xf>
    <xf numFmtId="0" fontId="27" fillId="2" borderId="52" xfId="0" applyFont="1" applyFill="1" applyBorder="1" applyAlignment="1">
      <alignment horizontal="left"/>
    </xf>
    <xf numFmtId="0" fontId="27" fillId="2" borderId="51" xfId="0" applyFont="1" applyFill="1" applyBorder="1" applyAlignment="1">
      <alignment horizontal="left"/>
    </xf>
    <xf numFmtId="0" fontId="27" fillId="2" borderId="17" xfId="0" applyFont="1" applyFill="1" applyBorder="1" applyAlignment="1">
      <alignment horizontal="left"/>
    </xf>
    <xf numFmtId="0" fontId="26" fillId="2" borderId="65" xfId="0" applyFont="1" applyFill="1" applyBorder="1" applyAlignment="1">
      <alignment horizontal="left" vertical="center"/>
    </xf>
    <xf numFmtId="0" fontId="26" fillId="2" borderId="64" xfId="0" applyFont="1" applyFill="1" applyBorder="1" applyAlignment="1">
      <alignment horizontal="left" vertical="center"/>
    </xf>
    <xf numFmtId="0" fontId="26" fillId="2" borderId="66" xfId="0" applyFont="1" applyFill="1" applyBorder="1" applyAlignment="1">
      <alignment horizontal="left" vertical="center"/>
    </xf>
    <xf numFmtId="0" fontId="30" fillId="0" borderId="23" xfId="0" applyFont="1" applyBorder="1" applyAlignment="1">
      <alignment horizontal="left" vertical="center" wrapText="1"/>
    </xf>
    <xf numFmtId="0" fontId="30" fillId="0" borderId="9" xfId="0" applyFont="1" applyBorder="1" applyAlignment="1">
      <alignment horizontal="left" vertical="center" wrapText="1"/>
    </xf>
    <xf numFmtId="0" fontId="30" fillId="0" borderId="24" xfId="0" applyFont="1" applyBorder="1" applyAlignment="1">
      <alignment horizontal="left" vertical="center" wrapText="1"/>
    </xf>
    <xf numFmtId="0" fontId="30" fillId="0" borderId="25" xfId="0" applyFont="1" applyBorder="1" applyAlignment="1">
      <alignment horizontal="left" vertical="center" wrapText="1"/>
    </xf>
    <xf numFmtId="0" fontId="30" fillId="0" borderId="0" xfId="0" applyFont="1" applyAlignment="1">
      <alignment horizontal="left" vertical="center" wrapText="1"/>
    </xf>
    <xf numFmtId="0" fontId="30" fillId="0" borderId="26" xfId="0" applyFont="1" applyBorder="1" applyAlignment="1">
      <alignment horizontal="left" vertical="center" wrapText="1"/>
    </xf>
    <xf numFmtId="0" fontId="40" fillId="3" borderId="72" xfId="0" applyFont="1" applyFill="1" applyBorder="1" applyAlignment="1">
      <alignment horizontal="left" vertical="center" wrapText="1"/>
    </xf>
    <xf numFmtId="0" fontId="41" fillId="3" borderId="72" xfId="0" applyFont="1" applyFill="1" applyBorder="1" applyAlignment="1">
      <alignment horizontal="left" vertical="center" wrapText="1"/>
    </xf>
    <xf numFmtId="0" fontId="40" fillId="3" borderId="63" xfId="0" applyFont="1" applyFill="1" applyBorder="1" applyAlignment="1">
      <alignment horizontal="left" vertical="center" wrapText="1"/>
    </xf>
    <xf numFmtId="0" fontId="41" fillId="3" borderId="63" xfId="0" applyFont="1" applyFill="1" applyBorder="1" applyAlignment="1">
      <alignment horizontal="left" vertical="center" wrapText="1"/>
    </xf>
    <xf numFmtId="0" fontId="39" fillId="3" borderId="45" xfId="0" applyFont="1" applyFill="1" applyBorder="1" applyAlignment="1">
      <alignment horizontal="left" vertical="center" wrapText="1"/>
    </xf>
    <xf numFmtId="0" fontId="29" fillId="3" borderId="72" xfId="0" applyFont="1" applyFill="1" applyBorder="1" applyAlignment="1">
      <alignment horizontal="left" vertical="center" wrapText="1"/>
    </xf>
    <xf numFmtId="0" fontId="29" fillId="0" borderId="30" xfId="0" applyFont="1" applyBorder="1" applyAlignment="1">
      <alignment horizontal="left"/>
    </xf>
    <xf numFmtId="0" fontId="29" fillId="0" borderId="21" xfId="0" applyFont="1" applyBorder="1" applyAlignment="1">
      <alignment horizontal="left"/>
    </xf>
    <xf numFmtId="0" fontId="29" fillId="0" borderId="22" xfId="0" applyFont="1" applyBorder="1" applyAlignment="1">
      <alignment horizontal="left"/>
    </xf>
    <xf numFmtId="0" fontId="29" fillId="0" borderId="16" xfId="0" applyFont="1" applyBorder="1" applyAlignment="1">
      <alignment horizontal="left"/>
    </xf>
    <xf numFmtId="0" fontId="29" fillId="0" borderId="51" xfId="0" applyFont="1" applyBorder="1" applyAlignment="1">
      <alignment horizontal="left"/>
    </xf>
    <xf numFmtId="0" fontId="29" fillId="0" borderId="59" xfId="0" applyFont="1" applyBorder="1" applyAlignment="1">
      <alignment horizontal="left"/>
    </xf>
    <xf numFmtId="0" fontId="39" fillId="0" borderId="68" xfId="0" applyFont="1" applyBorder="1" applyAlignment="1">
      <alignment horizontal="left" vertical="center" wrapText="1"/>
    </xf>
    <xf numFmtId="0" fontId="29" fillId="0" borderId="7" xfId="0" applyFont="1" applyBorder="1" applyAlignment="1">
      <alignment horizontal="left" vertical="center" wrapText="1"/>
    </xf>
    <xf numFmtId="0" fontId="29" fillId="0" borderId="53" xfId="0" applyFont="1" applyBorder="1" applyAlignment="1">
      <alignment horizontal="left" vertical="center" wrapText="1"/>
    </xf>
    <xf numFmtId="0" fontId="29" fillId="0" borderId="68" xfId="0" applyFont="1" applyBorder="1" applyAlignment="1">
      <alignment horizontal="left" vertical="center" wrapText="1"/>
    </xf>
    <xf numFmtId="0" fontId="29" fillId="0" borderId="44" xfId="0" applyFont="1" applyBorder="1" applyAlignment="1">
      <alignment horizontal="left" vertical="center" wrapText="1"/>
    </xf>
    <xf numFmtId="0" fontId="29" fillId="0" borderId="73" xfId="0" applyFont="1" applyBorder="1" applyAlignment="1">
      <alignment horizontal="left" vertical="center" wrapText="1"/>
    </xf>
    <xf numFmtId="0" fontId="0" fillId="0" borderId="1" xfId="0" applyBorder="1" applyAlignment="1">
      <alignment horizontal="center"/>
    </xf>
    <xf numFmtId="0" fontId="0" fillId="0" borderId="31" xfId="0" applyBorder="1" applyAlignment="1">
      <alignment horizontal="center"/>
    </xf>
    <xf numFmtId="0" fontId="0" fillId="0" borderId="2" xfId="0" applyBorder="1" applyAlignment="1">
      <alignment horizontal="center"/>
    </xf>
    <xf numFmtId="0" fontId="0" fillId="0" borderId="25" xfId="0" applyBorder="1" applyAlignment="1">
      <alignment horizontal="center"/>
    </xf>
    <xf numFmtId="0" fontId="0" fillId="0" borderId="0" xfId="0" applyAlignment="1">
      <alignment horizontal="center"/>
    </xf>
    <xf numFmtId="0" fontId="0" fillId="0" borderId="26" xfId="0" applyBorder="1" applyAlignment="1">
      <alignment horizontal="center"/>
    </xf>
    <xf numFmtId="0" fontId="32" fillId="2" borderId="11" xfId="0" applyFont="1" applyFill="1" applyBorder="1" applyAlignment="1">
      <alignment horizontal="center" vertical="center"/>
    </xf>
    <xf numFmtId="0" fontId="32" fillId="2" borderId="12" xfId="0" applyFont="1" applyFill="1" applyBorder="1" applyAlignment="1">
      <alignment horizontal="center" vertical="center"/>
    </xf>
    <xf numFmtId="0" fontId="32" fillId="2" borderId="70" xfId="0" applyFont="1" applyFill="1" applyBorder="1" applyAlignment="1">
      <alignment horizontal="center" vertical="center"/>
    </xf>
    <xf numFmtId="0" fontId="32" fillId="2" borderId="19" xfId="0" applyFont="1" applyFill="1" applyBorder="1" applyAlignment="1">
      <alignment horizontal="center" vertical="center"/>
    </xf>
    <xf numFmtId="0" fontId="32" fillId="2" borderId="13" xfId="0" applyFont="1" applyFill="1" applyBorder="1" applyAlignment="1">
      <alignment horizontal="center" vertical="center"/>
    </xf>
    <xf numFmtId="0" fontId="32" fillId="2" borderId="71" xfId="0" applyFont="1" applyFill="1" applyBorder="1" applyAlignment="1">
      <alignment horizontal="center" vertical="center"/>
    </xf>
    <xf numFmtId="0" fontId="27" fillId="2" borderId="11" xfId="0" applyFont="1" applyFill="1" applyBorder="1" applyAlignment="1">
      <alignment horizontal="left" vertical="center"/>
    </xf>
    <xf numFmtId="0" fontId="27" fillId="2" borderId="12" xfId="0" applyFont="1" applyFill="1" applyBorder="1" applyAlignment="1">
      <alignment horizontal="left" vertical="center"/>
    </xf>
    <xf numFmtId="0" fontId="27" fillId="2" borderId="13" xfId="0" applyFont="1" applyFill="1" applyBorder="1" applyAlignment="1">
      <alignment horizontal="left" vertical="center"/>
    </xf>
    <xf numFmtId="0" fontId="29" fillId="3" borderId="45" xfId="0" applyFont="1" applyFill="1" applyBorder="1" applyAlignment="1">
      <alignment horizontal="left" vertical="center" wrapText="1"/>
    </xf>
    <xf numFmtId="0" fontId="23" fillId="3" borderId="1" xfId="0" applyFont="1" applyFill="1" applyBorder="1" applyAlignment="1">
      <alignment horizontal="center" vertical="top"/>
    </xf>
    <xf numFmtId="0" fontId="23" fillId="3" borderId="31" xfId="0" applyFont="1" applyFill="1" applyBorder="1" applyAlignment="1">
      <alignment horizontal="center" vertical="top"/>
    </xf>
    <xf numFmtId="0" fontId="23" fillId="3" borderId="2" xfId="0" applyFont="1" applyFill="1" applyBorder="1" applyAlignment="1">
      <alignment horizontal="center" vertical="top"/>
    </xf>
    <xf numFmtId="0" fontId="26" fillId="0" borderId="60" xfId="0" applyFont="1" applyBorder="1" applyAlignment="1">
      <alignment horizontal="center" vertical="center"/>
    </xf>
    <xf numFmtId="0" fontId="26" fillId="0" borderId="61" xfId="0" applyFont="1" applyBorder="1" applyAlignment="1">
      <alignment horizontal="center" vertical="center"/>
    </xf>
    <xf numFmtId="0" fontId="26" fillId="2" borderId="11" xfId="0" applyFont="1" applyFill="1" applyBorder="1" applyAlignment="1">
      <alignment horizontal="center" vertical="center"/>
    </xf>
    <xf numFmtId="0" fontId="26" fillId="2" borderId="12" xfId="0" applyFont="1" applyFill="1" applyBorder="1" applyAlignment="1">
      <alignment horizontal="center" vertical="center"/>
    </xf>
    <xf numFmtId="0" fontId="26" fillId="2" borderId="14" xfId="0" applyFont="1" applyFill="1" applyBorder="1" applyAlignment="1">
      <alignment horizontal="center" vertical="center"/>
    </xf>
    <xf numFmtId="0" fontId="26" fillId="2" borderId="15" xfId="0" applyFont="1" applyFill="1" applyBorder="1" applyAlignment="1">
      <alignment horizontal="center" vertical="center"/>
    </xf>
    <xf numFmtId="0" fontId="29" fillId="3" borderId="74" xfId="0" applyFont="1" applyFill="1" applyBorder="1" applyAlignment="1">
      <alignment horizontal="left" vertical="center" wrapText="1"/>
    </xf>
    <xf numFmtId="0" fontId="32" fillId="2" borderId="0" xfId="0" applyFont="1" applyFill="1" applyAlignment="1">
      <alignment horizontal="center" vertical="center" textRotation="90"/>
    </xf>
    <xf numFmtId="0" fontId="32" fillId="2" borderId="27" xfId="0" applyFont="1" applyFill="1" applyBorder="1" applyAlignment="1">
      <alignment horizontal="center" vertical="center" textRotation="90"/>
    </xf>
    <xf numFmtId="0" fontId="27" fillId="0" borderId="33" xfId="0" applyFont="1" applyBorder="1" applyAlignment="1">
      <alignment horizontal="center" vertical="center"/>
    </xf>
    <xf numFmtId="0" fontId="27" fillId="0" borderId="32" xfId="0" applyFont="1" applyBorder="1" applyAlignment="1">
      <alignment horizontal="center" vertical="center"/>
    </xf>
    <xf numFmtId="0" fontId="27" fillId="0" borderId="34" xfId="0" applyFont="1" applyBorder="1" applyAlignment="1">
      <alignment horizontal="center" vertical="center"/>
    </xf>
    <xf numFmtId="0" fontId="0" fillId="3" borderId="33" xfId="0" applyFill="1" applyBorder="1" applyAlignment="1">
      <alignment horizontal="center"/>
    </xf>
    <xf numFmtId="0" fontId="0" fillId="3" borderId="32" xfId="0" applyFill="1" applyBorder="1" applyAlignment="1">
      <alignment horizontal="center"/>
    </xf>
    <xf numFmtId="0" fontId="29" fillId="3" borderId="32" xfId="0" applyFont="1" applyFill="1" applyBorder="1" applyAlignment="1">
      <alignment horizontal="left" vertical="center"/>
    </xf>
    <xf numFmtId="0" fontId="29" fillId="3" borderId="34" xfId="0" applyFont="1" applyFill="1" applyBorder="1" applyAlignment="1">
      <alignment horizontal="left" vertical="center"/>
    </xf>
    <xf numFmtId="0" fontId="27" fillId="11" borderId="37" xfId="0" applyFont="1" applyFill="1" applyBorder="1" applyAlignment="1">
      <alignment horizontal="center" vertical="center"/>
    </xf>
    <xf numFmtId="0" fontId="27" fillId="11" borderId="66" xfId="0" applyFont="1" applyFill="1" applyBorder="1" applyAlignment="1">
      <alignment horizontal="center" vertical="center"/>
    </xf>
    <xf numFmtId="0" fontId="23" fillId="3" borderId="1" xfId="0" applyFont="1" applyFill="1" applyBorder="1" applyAlignment="1">
      <alignment horizontal="center" vertical="center" wrapText="1"/>
    </xf>
    <xf numFmtId="0" fontId="23" fillId="3" borderId="31" xfId="0" applyFont="1" applyFill="1" applyBorder="1" applyAlignment="1">
      <alignment horizontal="center" vertical="center" wrapText="1"/>
    </xf>
    <xf numFmtId="0" fontId="23" fillId="3" borderId="2" xfId="0" applyFont="1" applyFill="1" applyBorder="1" applyAlignment="1">
      <alignment horizontal="center" vertical="center" wrapText="1"/>
    </xf>
    <xf numFmtId="0" fontId="24" fillId="3" borderId="25" xfId="0" applyFont="1" applyFill="1" applyBorder="1" applyAlignment="1">
      <alignment horizontal="center" vertical="center"/>
    </xf>
    <xf numFmtId="0" fontId="24" fillId="3" borderId="0" xfId="0" applyFont="1" applyFill="1" applyAlignment="1">
      <alignment horizontal="center" vertical="center"/>
    </xf>
    <xf numFmtId="0" fontId="24" fillId="3" borderId="26" xfId="0" applyFont="1" applyFill="1" applyBorder="1" applyAlignment="1">
      <alignment horizontal="center" vertical="center"/>
    </xf>
    <xf numFmtId="0" fontId="29" fillId="2" borderId="25" xfId="0" applyFont="1" applyFill="1" applyBorder="1" applyAlignment="1">
      <alignment horizontal="left"/>
    </xf>
    <xf numFmtId="0" fontId="29" fillId="2" borderId="0" xfId="0" applyFont="1" applyFill="1" applyAlignment="1">
      <alignment horizontal="left"/>
    </xf>
    <xf numFmtId="0" fontId="29" fillId="2" borderId="26" xfId="0" applyFont="1" applyFill="1" applyBorder="1" applyAlignment="1">
      <alignment horizontal="left"/>
    </xf>
    <xf numFmtId="0" fontId="23" fillId="3" borderId="56" xfId="0" applyFont="1" applyFill="1" applyBorder="1" applyAlignment="1">
      <alignment horizontal="center" vertical="center"/>
    </xf>
    <xf numFmtId="0" fontId="23" fillId="3" borderId="2" xfId="0" applyFont="1" applyFill="1" applyBorder="1" applyAlignment="1">
      <alignment horizontal="center" vertical="center"/>
    </xf>
    <xf numFmtId="0" fontId="29" fillId="3" borderId="58" xfId="0" applyFont="1" applyFill="1" applyBorder="1" applyAlignment="1">
      <alignment horizontal="center" vertical="center"/>
    </xf>
    <xf numFmtId="0" fontId="29" fillId="3" borderId="4" xfId="0" applyFont="1" applyFill="1" applyBorder="1" applyAlignment="1">
      <alignment horizontal="center" vertical="center"/>
    </xf>
    <xf numFmtId="0" fontId="27" fillId="11" borderId="65" xfId="0" applyFont="1" applyFill="1" applyBorder="1" applyAlignment="1">
      <alignment horizontal="left" vertical="center"/>
    </xf>
    <xf numFmtId="0" fontId="27" fillId="11" borderId="64" xfId="0" applyFont="1" applyFill="1" applyBorder="1" applyAlignment="1">
      <alignment horizontal="left" vertical="center"/>
    </xf>
    <xf numFmtId="0" fontId="27" fillId="11" borderId="36" xfId="0" applyFont="1" applyFill="1" applyBorder="1" applyAlignment="1">
      <alignment horizontal="left" vertical="center"/>
    </xf>
    <xf numFmtId="165" fontId="29" fillId="3" borderId="16" xfId="0" applyNumberFormat="1" applyFont="1" applyFill="1" applyBorder="1" applyAlignment="1">
      <alignment horizontal="center" vertical="center"/>
    </xf>
    <xf numFmtId="165" fontId="29" fillId="3" borderId="51" xfId="0" applyNumberFormat="1" applyFont="1" applyFill="1" applyBorder="1" applyAlignment="1">
      <alignment horizontal="center" vertical="center"/>
    </xf>
    <xf numFmtId="165" fontId="29" fillId="3" borderId="17" xfId="0" applyNumberFormat="1" applyFont="1" applyFill="1" applyBorder="1" applyAlignment="1">
      <alignment horizontal="center" vertical="center"/>
    </xf>
    <xf numFmtId="0" fontId="22" fillId="0" borderId="28" xfId="0" applyFont="1" applyBorder="1" applyAlignment="1">
      <alignment horizontal="left" vertical="center" wrapText="1"/>
    </xf>
    <xf numFmtId="0" fontId="22" fillId="0" borderId="5" xfId="0" applyFont="1" applyBorder="1" applyAlignment="1">
      <alignment horizontal="left" vertical="center" wrapText="1"/>
    </xf>
    <xf numFmtId="0" fontId="27" fillId="2" borderId="30" xfId="0" applyFont="1" applyFill="1" applyBorder="1" applyAlignment="1">
      <alignment horizontal="center" vertical="center"/>
    </xf>
    <xf numFmtId="0" fontId="27" fillId="2" borderId="21" xfId="0" applyFont="1" applyFill="1" applyBorder="1" applyAlignment="1">
      <alignment horizontal="center" vertical="center"/>
    </xf>
    <xf numFmtId="0" fontId="27" fillId="2" borderId="22" xfId="0" applyFont="1" applyFill="1" applyBorder="1" applyAlignment="1">
      <alignment horizontal="center" vertical="center"/>
    </xf>
    <xf numFmtId="0" fontId="27" fillId="2" borderId="20" xfId="0" applyFont="1" applyFill="1" applyBorder="1" applyAlignment="1">
      <alignment horizontal="left" vertical="center"/>
    </xf>
    <xf numFmtId="0" fontId="27" fillId="2" borderId="21" xfId="0" applyFont="1" applyFill="1" applyBorder="1" applyAlignment="1">
      <alignment horizontal="left" vertical="center"/>
    </xf>
    <xf numFmtId="0" fontId="29" fillId="3" borderId="52" xfId="0" applyFont="1" applyFill="1" applyBorder="1" applyAlignment="1">
      <alignment horizontal="left" vertical="center"/>
    </xf>
    <xf numFmtId="0" fontId="29" fillId="3" borderId="51" xfId="0" applyFont="1" applyFill="1" applyBorder="1" applyAlignment="1">
      <alignment horizontal="left" vertical="center"/>
    </xf>
    <xf numFmtId="0" fontId="29" fillId="3" borderId="17" xfId="0" applyFont="1" applyFill="1" applyBorder="1" applyAlignment="1">
      <alignment horizontal="left" vertical="center"/>
    </xf>
    <xf numFmtId="165" fontId="29" fillId="3" borderId="59" xfId="0" applyNumberFormat="1" applyFont="1" applyFill="1" applyBorder="1" applyAlignment="1">
      <alignment horizontal="center" vertical="center"/>
    </xf>
    <xf numFmtId="0" fontId="27" fillId="11" borderId="64" xfId="0" applyFont="1" applyFill="1" applyBorder="1" applyAlignment="1">
      <alignment horizontal="center" vertical="center"/>
    </xf>
    <xf numFmtId="0" fontId="27" fillId="11" borderId="36" xfId="0" applyFont="1" applyFill="1" applyBorder="1" applyAlignment="1">
      <alignment horizontal="center" vertical="center"/>
    </xf>
    <xf numFmtId="164" fontId="27" fillId="3" borderId="16" xfId="0" applyNumberFormat="1" applyFont="1" applyFill="1" applyBorder="1" applyAlignment="1">
      <alignment horizontal="center" vertical="center"/>
    </xf>
    <xf numFmtId="164" fontId="27" fillId="3" borderId="59" xfId="0" applyNumberFormat="1" applyFont="1" applyFill="1" applyBorder="1" applyAlignment="1">
      <alignment horizontal="center" vertical="center"/>
    </xf>
    <xf numFmtId="14" fontId="29" fillId="3" borderId="21" xfId="0" applyNumberFormat="1" applyFont="1" applyFill="1" applyBorder="1" applyAlignment="1">
      <alignment horizontal="center"/>
    </xf>
    <xf numFmtId="0" fontId="29" fillId="3" borderId="21" xfId="0" applyFont="1" applyFill="1" applyBorder="1" applyAlignment="1">
      <alignment horizontal="center"/>
    </xf>
    <xf numFmtId="0" fontId="29" fillId="3" borderId="22" xfId="0" applyFont="1" applyFill="1" applyBorder="1" applyAlignment="1">
      <alignment horizontal="center"/>
    </xf>
    <xf numFmtId="14" fontId="29" fillId="3" borderId="51" xfId="0" applyNumberFormat="1" applyFont="1" applyFill="1" applyBorder="1" applyAlignment="1">
      <alignment horizontal="center"/>
    </xf>
    <xf numFmtId="0" fontId="29" fillId="3" borderId="51" xfId="0" applyFont="1" applyFill="1" applyBorder="1" applyAlignment="1">
      <alignment horizontal="center"/>
    </xf>
    <xf numFmtId="0" fontId="29" fillId="3" borderId="59" xfId="0" applyFont="1" applyFill="1" applyBorder="1" applyAlignment="1">
      <alignment horizontal="center"/>
    </xf>
    <xf numFmtId="0" fontId="29" fillId="0" borderId="20" xfId="0" applyFont="1" applyBorder="1" applyAlignment="1">
      <alignment horizontal="left"/>
    </xf>
    <xf numFmtId="0" fontId="29" fillId="0" borderId="3" xfId="0" applyFont="1" applyBorder="1" applyAlignment="1">
      <alignment horizontal="left"/>
    </xf>
    <xf numFmtId="0" fontId="29" fillId="0" borderId="27" xfId="0" applyFont="1" applyBorder="1" applyAlignment="1">
      <alignment horizontal="left"/>
    </xf>
    <xf numFmtId="0" fontId="29" fillId="0" borderId="4" xfId="0" applyFont="1" applyBorder="1" applyAlignment="1">
      <alignment horizontal="left"/>
    </xf>
    <xf numFmtId="0" fontId="39" fillId="13" borderId="52" xfId="0" applyFont="1" applyFill="1" applyBorder="1" applyAlignment="1">
      <alignment horizontal="center" vertical="center"/>
    </xf>
    <xf numFmtId="0" fontId="39" fillId="13" borderId="51" xfId="0" applyFont="1" applyFill="1" applyBorder="1" applyAlignment="1">
      <alignment horizontal="center" vertical="center"/>
    </xf>
    <xf numFmtId="0" fontId="29" fillId="0" borderId="20" xfId="0" applyFont="1" applyBorder="1" applyAlignment="1">
      <alignment horizontal="left" vertical="center" wrapText="1"/>
    </xf>
    <xf numFmtId="0" fontId="29" fillId="0" borderId="21" xfId="0" applyFont="1" applyBorder="1" applyAlignment="1">
      <alignment horizontal="left" vertical="center" wrapText="1"/>
    </xf>
    <xf numFmtId="0" fontId="29" fillId="0" borderId="22" xfId="0" applyFont="1" applyBorder="1" applyAlignment="1">
      <alignment horizontal="left" vertical="center" wrapText="1"/>
    </xf>
    <xf numFmtId="0" fontId="29" fillId="0" borderId="25" xfId="0" applyFont="1" applyBorder="1" applyAlignment="1">
      <alignment horizontal="left" vertical="center" wrapText="1"/>
    </xf>
    <xf numFmtId="0" fontId="29" fillId="0" borderId="0" xfId="0" applyFont="1" applyAlignment="1">
      <alignment horizontal="left" vertical="center" wrapText="1"/>
    </xf>
    <xf numFmtId="0" fontId="29" fillId="0" borderId="26" xfId="0" applyFont="1" applyBorder="1" applyAlignment="1">
      <alignment horizontal="left" vertical="center" wrapText="1"/>
    </xf>
    <xf numFmtId="0" fontId="27" fillId="2" borderId="32" xfId="0" applyFont="1" applyFill="1" applyBorder="1" applyAlignment="1">
      <alignment horizontal="center"/>
    </xf>
    <xf numFmtId="0" fontId="27" fillId="2" borderId="34" xfId="0" applyFont="1" applyFill="1" applyBorder="1" applyAlignment="1">
      <alignment horizontal="center"/>
    </xf>
    <xf numFmtId="0" fontId="34" fillId="6" borderId="0" xfId="0" applyFont="1" applyFill="1" applyAlignment="1">
      <alignment horizontal="center" vertical="center" wrapText="1"/>
    </xf>
    <xf numFmtId="0" fontId="34" fillId="6" borderId="26" xfId="0" applyFont="1" applyFill="1" applyBorder="1" applyAlignment="1">
      <alignment horizontal="center" vertical="center" wrapText="1"/>
    </xf>
    <xf numFmtId="0" fontId="29" fillId="3" borderId="27" xfId="0" applyFont="1" applyFill="1" applyBorder="1" applyAlignment="1">
      <alignment horizontal="center" vertical="center"/>
    </xf>
    <xf numFmtId="0" fontId="23" fillId="3" borderId="12" xfId="0" applyFont="1" applyFill="1" applyBorder="1" applyAlignment="1">
      <alignment horizontal="center" vertical="center"/>
    </xf>
    <xf numFmtId="0" fontId="26" fillId="2" borderId="56" xfId="0" applyFont="1" applyFill="1" applyBorder="1" applyAlignment="1">
      <alignment horizontal="center" vertical="center"/>
    </xf>
    <xf numFmtId="0" fontId="26" fillId="2" borderId="57" xfId="0" applyFont="1" applyFill="1" applyBorder="1" applyAlignment="1">
      <alignment horizontal="center" vertical="center"/>
    </xf>
    <xf numFmtId="0" fontId="26" fillId="2" borderId="58" xfId="0" applyFont="1" applyFill="1" applyBorder="1" applyAlignment="1">
      <alignment horizontal="center" vertical="center"/>
    </xf>
    <xf numFmtId="0" fontId="26" fillId="2" borderId="55" xfId="0" applyFont="1" applyFill="1" applyBorder="1" applyAlignment="1">
      <alignment horizontal="center" vertical="center"/>
    </xf>
    <xf numFmtId="0" fontId="32" fillId="2" borderId="31" xfId="0" applyFont="1" applyFill="1" applyBorder="1" applyAlignment="1">
      <alignment horizontal="center" vertical="center"/>
    </xf>
    <xf numFmtId="0" fontId="34" fillId="4" borderId="0" xfId="0" applyFont="1" applyFill="1" applyAlignment="1">
      <alignment horizontal="center" vertical="top" wrapText="1"/>
    </xf>
    <xf numFmtId="0" fontId="34" fillId="4" borderId="26" xfId="0" applyFont="1" applyFill="1" applyBorder="1" applyAlignment="1">
      <alignment horizontal="center" vertical="top" wrapText="1"/>
    </xf>
    <xf numFmtId="0" fontId="34" fillId="5" borderId="0" xfId="0" applyFont="1" applyFill="1" applyAlignment="1">
      <alignment horizontal="center" vertical="center" wrapText="1"/>
    </xf>
    <xf numFmtId="0" fontId="34" fillId="5" borderId="26" xfId="0" applyFont="1" applyFill="1" applyBorder="1" applyAlignment="1">
      <alignment horizontal="center" vertical="center" wrapText="1"/>
    </xf>
    <xf numFmtId="0" fontId="34" fillId="5" borderId="27" xfId="0" applyFont="1" applyFill="1" applyBorder="1" applyAlignment="1">
      <alignment horizontal="center" vertical="center" wrapText="1"/>
    </xf>
    <xf numFmtId="0" fontId="34" fillId="5" borderId="4" xfId="0" applyFont="1" applyFill="1" applyBorder="1" applyAlignment="1">
      <alignment horizontal="center" vertical="center" wrapText="1"/>
    </xf>
    <xf numFmtId="0" fontId="26" fillId="2" borderId="62" xfId="0" applyFont="1" applyFill="1" applyBorder="1" applyAlignment="1">
      <alignment horizontal="center" vertical="center"/>
    </xf>
    <xf numFmtId="0" fontId="26" fillId="2" borderId="63" xfId="0" applyFont="1" applyFill="1" applyBorder="1" applyAlignment="1">
      <alignment horizontal="center" vertical="center"/>
    </xf>
    <xf numFmtId="0" fontId="35" fillId="2" borderId="30" xfId="0" applyFont="1" applyFill="1" applyBorder="1" applyAlignment="1">
      <alignment horizontal="center" vertical="center"/>
    </xf>
    <xf numFmtId="0" fontId="35" fillId="2" borderId="21" xfId="0" applyFont="1" applyFill="1" applyBorder="1" applyAlignment="1">
      <alignment horizontal="center" vertical="center"/>
    </xf>
    <xf numFmtId="0" fontId="35" fillId="2" borderId="50" xfId="0" applyFont="1" applyFill="1" applyBorder="1" applyAlignment="1">
      <alignment horizontal="center" vertical="center"/>
    </xf>
    <xf numFmtId="0" fontId="25" fillId="3" borderId="25" xfId="0" applyFont="1" applyFill="1" applyBorder="1" applyAlignment="1">
      <alignment horizontal="center" vertical="center"/>
    </xf>
    <xf numFmtId="0" fontId="25" fillId="3" borderId="0" xfId="0" applyFont="1" applyFill="1" applyAlignment="1">
      <alignment horizontal="center" vertical="center"/>
    </xf>
    <xf numFmtId="0" fontId="25" fillId="3" borderId="26" xfId="0" applyFont="1" applyFill="1" applyBorder="1" applyAlignment="1">
      <alignment horizontal="center" vertical="center"/>
    </xf>
    <xf numFmtId="0" fontId="25" fillId="3" borderId="3" xfId="0" applyFont="1" applyFill="1" applyBorder="1" applyAlignment="1">
      <alignment horizontal="center" vertical="center"/>
    </xf>
    <xf numFmtId="0" fontId="25" fillId="3" borderId="27" xfId="0" applyFont="1" applyFill="1" applyBorder="1" applyAlignment="1">
      <alignment horizontal="center" vertical="center"/>
    </xf>
    <xf numFmtId="0" fontId="26" fillId="2" borderId="31" xfId="0" applyFont="1" applyFill="1" applyBorder="1" applyAlignment="1">
      <alignment horizontal="center" vertical="center"/>
    </xf>
    <xf numFmtId="0" fontId="26" fillId="2" borderId="67" xfId="0" applyFont="1" applyFill="1" applyBorder="1" applyAlignment="1">
      <alignment horizontal="center" vertical="center"/>
    </xf>
    <xf numFmtId="0" fontId="26" fillId="2" borderId="0" xfId="0" applyFont="1" applyFill="1" applyAlignment="1">
      <alignment horizontal="center" vertical="center"/>
    </xf>
    <xf numFmtId="0" fontId="29" fillId="3" borderId="3" xfId="0" applyFont="1" applyFill="1" applyBorder="1" applyAlignment="1">
      <alignment horizontal="center" vertical="center"/>
    </xf>
    <xf numFmtId="0" fontId="23" fillId="3" borderId="11" xfId="0" applyFont="1" applyFill="1" applyBorder="1" applyAlignment="1">
      <alignment horizontal="center" vertical="center"/>
    </xf>
    <xf numFmtId="164" fontId="29" fillId="3" borderId="15" xfId="0" applyNumberFormat="1" applyFont="1" applyFill="1" applyBorder="1" applyAlignment="1">
      <alignment horizontal="center" vertical="center"/>
    </xf>
    <xf numFmtId="0" fontId="7" fillId="3" borderId="0" xfId="1" applyFont="1" applyFill="1" applyAlignment="1">
      <alignment horizontal="center" vertical="center" textRotation="90"/>
    </xf>
    <xf numFmtId="0" fontId="11" fillId="3" borderId="9" xfId="1" applyFont="1" applyFill="1" applyBorder="1" applyAlignment="1">
      <alignment horizontal="left" vertical="top" wrapText="1"/>
    </xf>
    <xf numFmtId="0" fontId="14" fillId="9" borderId="5" xfId="1" applyFont="1" applyFill="1" applyBorder="1" applyAlignment="1">
      <alignment horizontal="center" vertical="center" wrapText="1"/>
    </xf>
    <xf numFmtId="0" fontId="14" fillId="9" borderId="19" xfId="1" applyFont="1" applyFill="1" applyBorder="1" applyAlignment="1">
      <alignment horizontal="center" vertical="center" wrapText="1"/>
    </xf>
    <xf numFmtId="0" fontId="14" fillId="9" borderId="10" xfId="1" applyFont="1" applyFill="1" applyBorder="1" applyAlignment="1">
      <alignment horizontal="center" vertical="center" wrapText="1"/>
    </xf>
    <xf numFmtId="0" fontId="14" fillId="9" borderId="40" xfId="1" applyFont="1" applyFill="1" applyBorder="1" applyAlignment="1">
      <alignment horizontal="center" vertical="center" wrapText="1"/>
    </xf>
    <xf numFmtId="0" fontId="14" fillId="9" borderId="39" xfId="1" applyFont="1" applyFill="1" applyBorder="1" applyAlignment="1">
      <alignment horizontal="center" vertical="center" wrapText="1"/>
    </xf>
    <xf numFmtId="0" fontId="14" fillId="9" borderId="37" xfId="1" applyFont="1" applyFill="1" applyBorder="1" applyAlignment="1">
      <alignment horizontal="center" vertical="center" wrapText="1"/>
    </xf>
    <xf numFmtId="0" fontId="14" fillId="9" borderId="36" xfId="1" applyFont="1" applyFill="1" applyBorder="1" applyAlignment="1">
      <alignment horizontal="center" vertical="center" wrapText="1"/>
    </xf>
    <xf numFmtId="0" fontId="14" fillId="9" borderId="6" xfId="1" applyFont="1" applyFill="1" applyBorder="1" applyAlignment="1">
      <alignment horizontal="center" vertical="center" wrapText="1"/>
    </xf>
    <xf numFmtId="0" fontId="14" fillId="9" borderId="7" xfId="1" applyFont="1" applyFill="1" applyBorder="1" applyAlignment="1">
      <alignment horizontal="center" vertical="center" wrapText="1"/>
    </xf>
    <xf numFmtId="0" fontId="14" fillId="9" borderId="8" xfId="1" applyFont="1" applyFill="1" applyBorder="1" applyAlignment="1">
      <alignment horizontal="center" vertical="center" wrapText="1"/>
    </xf>
    <xf numFmtId="0" fontId="9" fillId="9" borderId="5" xfId="1" applyFont="1" applyFill="1" applyBorder="1" applyAlignment="1">
      <alignment horizontal="center" vertical="center" wrapText="1"/>
    </xf>
    <xf numFmtId="0" fontId="9" fillId="9" borderId="5" xfId="1" applyFont="1" applyFill="1" applyBorder="1" applyAlignment="1">
      <alignment horizontal="center" vertical="center"/>
    </xf>
    <xf numFmtId="0" fontId="9" fillId="9" borderId="40" xfId="1" applyFont="1" applyFill="1" applyBorder="1" applyAlignment="1">
      <alignment horizontal="center" vertical="center"/>
    </xf>
    <xf numFmtId="0" fontId="9" fillId="9" borderId="39" xfId="1" applyFont="1" applyFill="1" applyBorder="1" applyAlignment="1">
      <alignment horizontal="center" vertical="center"/>
    </xf>
    <xf numFmtId="0" fontId="9" fillId="9" borderId="37" xfId="1" applyFont="1" applyFill="1" applyBorder="1" applyAlignment="1">
      <alignment horizontal="center" vertical="center"/>
    </xf>
    <xf numFmtId="0" fontId="9" fillId="9" borderId="36" xfId="1" applyFont="1" applyFill="1" applyBorder="1" applyAlignment="1">
      <alignment horizontal="center" vertical="center"/>
    </xf>
    <xf numFmtId="0" fontId="5" fillId="7" borderId="41" xfId="1" applyFont="1" applyFill="1" applyBorder="1" applyAlignment="1">
      <alignment horizontal="left" vertical="top" wrapText="1"/>
    </xf>
    <xf numFmtId="0" fontId="5" fillId="7" borderId="38" xfId="1" applyFont="1" applyFill="1" applyBorder="1" applyAlignment="1">
      <alignment horizontal="left" vertical="top"/>
    </xf>
    <xf numFmtId="0" fontId="5" fillId="7" borderId="35" xfId="1" applyFont="1" applyFill="1" applyBorder="1" applyAlignment="1">
      <alignment horizontal="left" vertical="top"/>
    </xf>
    <xf numFmtId="0" fontId="3" fillId="0" borderId="45" xfId="2" applyBorder="1" applyAlignment="1">
      <alignment horizontal="left"/>
    </xf>
    <xf numFmtId="0" fontId="3" fillId="0" borderId="44" xfId="2" applyBorder="1" applyAlignment="1">
      <alignment horizontal="left"/>
    </xf>
    <xf numFmtId="0" fontId="1" fillId="0" borderId="33" xfId="2" applyFont="1" applyBorder="1" applyAlignment="1">
      <alignment horizontal="left" vertical="top" wrapText="1"/>
    </xf>
    <xf numFmtId="0" fontId="1" fillId="0" borderId="34" xfId="2" applyFont="1" applyBorder="1" applyAlignment="1">
      <alignment horizontal="left" vertical="top" wrapText="1"/>
    </xf>
    <xf numFmtId="0" fontId="19" fillId="3" borderId="0" xfId="3" applyFont="1" applyFill="1" applyAlignment="1">
      <alignment horizontal="left" vertical="top" wrapText="1"/>
    </xf>
  </cellXfs>
  <cellStyles count="6">
    <cellStyle name="Normal" xfId="0" builtinId="0"/>
    <cellStyle name="Normal 2" xfId="3" xr:uid="{1468DFB7-A64F-4035-94D4-B26D6719AA58}"/>
    <cellStyle name="Normal 5" xfId="1" xr:uid="{FCA6291F-B1B5-4393-9EF3-EC64E6B24D7E}"/>
    <cellStyle name="Normal 6" xfId="4" xr:uid="{A874667F-4440-4C4D-8D9F-05A9C42EA0A8}"/>
    <cellStyle name="Normal 6 2" xfId="5" xr:uid="{049A8025-3F63-49AB-8569-4C36518D5D3A}"/>
    <cellStyle name="Normal 7" xfId="2" xr:uid="{5BD2A739-AC44-4DBF-ADD1-83404A51650C}"/>
  </cellStyles>
  <dxfs count="57">
    <dxf>
      <fill>
        <patternFill>
          <bgColor rgb="FF0070C0"/>
        </patternFill>
      </fill>
    </dxf>
    <dxf>
      <fill>
        <patternFill>
          <bgColor rgb="FF00B050"/>
        </patternFill>
      </fill>
    </dxf>
    <dxf>
      <fill>
        <patternFill>
          <bgColor rgb="FFFF0000"/>
        </patternFill>
      </fill>
    </dxf>
    <dxf>
      <fill>
        <patternFill>
          <bgColor rgb="FF0070C0"/>
        </patternFill>
      </fill>
    </dxf>
    <dxf>
      <fill>
        <patternFill>
          <bgColor rgb="FF00B050"/>
        </patternFill>
      </fill>
    </dxf>
    <dxf>
      <fill>
        <patternFill>
          <bgColor rgb="FFFF0000"/>
        </patternFill>
      </fill>
    </dxf>
    <dxf>
      <fill>
        <patternFill>
          <bgColor rgb="FF0070C0"/>
        </patternFill>
      </fill>
    </dxf>
    <dxf>
      <fill>
        <patternFill>
          <bgColor rgb="FF00B050"/>
        </patternFill>
      </fill>
    </dxf>
    <dxf>
      <fill>
        <patternFill>
          <bgColor rgb="FFFF0000"/>
        </patternFill>
      </fill>
    </dxf>
    <dxf>
      <fill>
        <patternFill>
          <bgColor rgb="FF00B050"/>
        </patternFill>
      </fill>
    </dxf>
    <dxf>
      <fill>
        <patternFill>
          <bgColor rgb="FF0070C0"/>
        </patternFill>
      </fill>
    </dxf>
    <dxf>
      <fill>
        <patternFill>
          <bgColor rgb="FFFF000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17/10/relationships/person" Target="persons/person.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0</xdr:row>
      <xdr:rowOff>102054</xdr:rowOff>
    </xdr:from>
    <xdr:to>
      <xdr:col>2</xdr:col>
      <xdr:colOff>429949</xdr:colOff>
      <xdr:row>3</xdr:row>
      <xdr:rowOff>86344</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57150" y="102054"/>
          <a:ext cx="1369523" cy="43332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66675</xdr:colOff>
          <xdr:row>7</xdr:row>
          <xdr:rowOff>28575</xdr:rowOff>
        </xdr:from>
        <xdr:to>
          <xdr:col>2</xdr:col>
          <xdr:colOff>219075</xdr:colOff>
          <xdr:row>7</xdr:row>
          <xdr:rowOff>190500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FieldCore Employees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7</xdr:row>
          <xdr:rowOff>28575</xdr:rowOff>
        </xdr:from>
        <xdr:to>
          <xdr:col>4</xdr:col>
          <xdr:colOff>38100</xdr:colOff>
          <xdr:row>7</xdr:row>
          <xdr:rowOff>190500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GE Employees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7</xdr:row>
          <xdr:rowOff>28575</xdr:rowOff>
        </xdr:from>
        <xdr:to>
          <xdr:col>9</xdr:col>
          <xdr:colOff>219075</xdr:colOff>
          <xdr:row>7</xdr:row>
          <xdr:rowOff>190500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Customer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7</xdr:row>
          <xdr:rowOff>28575</xdr:rowOff>
        </xdr:from>
        <xdr:to>
          <xdr:col>11</xdr:col>
          <xdr:colOff>781050</xdr:colOff>
          <xdr:row>7</xdr:row>
          <xdr:rowOff>190500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Contractors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647700</xdr:colOff>
          <xdr:row>7</xdr:row>
          <xdr:rowOff>28575</xdr:rowOff>
        </xdr:from>
        <xdr:to>
          <xdr:col>13</xdr:col>
          <xdr:colOff>47625</xdr:colOff>
          <xdr:row>7</xdr:row>
          <xdr:rowOff>190500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Affiliates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161925</xdr:colOff>
          <xdr:row>7</xdr:row>
          <xdr:rowOff>28575</xdr:rowOff>
        </xdr:from>
        <xdr:to>
          <xdr:col>17</xdr:col>
          <xdr:colOff>38100</xdr:colOff>
          <xdr:row>7</xdr:row>
          <xdr:rowOff>190500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Public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6</xdr:row>
          <xdr:rowOff>161925</xdr:rowOff>
        </xdr:from>
        <xdr:to>
          <xdr:col>20</xdr:col>
          <xdr:colOff>114300</xdr:colOff>
          <xdr:row>7</xdr:row>
          <xdr:rowOff>200025</xdr:rowOff>
        </xdr:to>
        <xdr:sp macro="" textlink="">
          <xdr:nvSpPr>
            <xdr:cNvPr id="1039" name="Check Box 15" descr="FieldCore Employees"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Others (Specify)</a:t>
              </a:r>
            </a:p>
          </xdr:txBody>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605014893/AppData/Local/Microsoft/Windows/INetCache/Content.Outlook/PPLORWVY/0.%20HHI%20-Mini.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spo-teamsite.ge.com/GEEHS/105043958/2-%20Thermal/Bouchain/EHS-Contractor%20Evaluation%20&amp;%20Site%20Audits-Rev0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lobal HHI"/>
      <sheetName val="RIsk Matrix"/>
      <sheetName val="ChemHazSeverity"/>
      <sheetName val="GHS Hazard Statements"/>
      <sheetName val="Project HHI(Example)"/>
      <sheetName val="Data - Project"/>
      <sheetName val="Data - HRA"/>
    </sheetNames>
    <sheetDataSet>
      <sheetData sheetId="0"/>
      <sheetData sheetId="1" refreshError="1"/>
      <sheetData sheetId="2" refreshError="1"/>
      <sheetData sheetId="3" refreshError="1"/>
      <sheetData sheetId="4"/>
      <sheetData sheetId="5"/>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erformancesDataSheet"/>
      <sheetName val="Weekly Site Inspection"/>
      <sheetName val="Performance Evaluation"/>
      <sheetName val="Corporate Audit"/>
    </sheetNames>
    <sheetDataSet>
      <sheetData sheetId="0"/>
      <sheetData sheetId="1"/>
      <sheetData sheetId="2"/>
      <sheetData sheetId="3"/>
    </sheetDataSet>
  </externalBook>
</externalLink>
</file>

<file path=xl/persons/person.xml><?xml version="1.0" encoding="utf-8"?>
<personList xmlns="http://schemas.microsoft.com/office/spreadsheetml/2018/threadedcomments" xmlns:x="http://schemas.openxmlformats.org/spreadsheetml/2006/main">
  <person displayName="Conway, Ross (FieldCore)" id="{151A8DAF-89F3-4A52-9E8B-AF34FAC486F3}" userId="Conway, Ross (FieldCore)"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5" dT="2021-02-02T11:46:27.57" personId="{151A8DAF-89F3-4A52-9E8B-AF34FAC486F3}" id="{F8B3473E-1D08-4DC0-B648-05AEC490E959}">
    <text>Need to add Acute and Chronic eg Asbestos Acute 1 +2  = 2 Chronic  4 + 4 =7</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6.bin"/><Relationship Id="rId4" Type="http://schemas.microsoft.com/office/2017/10/relationships/threadedComment" Target="../threadedComments/threadedComment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90E613-2BA9-4A9E-AA8C-704C831FEB74}">
  <sheetPr codeName="Sheet11"/>
  <dimension ref="A1:Z48"/>
  <sheetViews>
    <sheetView showGridLines="0" tabSelected="1" topLeftCell="A22" zoomScale="130" zoomScaleNormal="130" workbookViewId="0">
      <selection activeCell="P24" sqref="P24:Y24"/>
    </sheetView>
  </sheetViews>
  <sheetFormatPr defaultColWidth="0" defaultRowHeight="15" zeroHeight="1"/>
  <cols>
    <col min="1" max="1" width="2.7109375" bestFit="1" customWidth="1"/>
    <col min="2" max="2" width="12.140625" customWidth="1"/>
    <col min="3" max="3" width="7.28515625" customWidth="1"/>
    <col min="4" max="4" width="14.28515625" customWidth="1"/>
    <col min="5" max="5" width="2.85546875" customWidth="1"/>
    <col min="6" max="6" width="4.5703125" customWidth="1"/>
    <col min="7" max="7" width="4.42578125" customWidth="1"/>
    <col min="8" max="8" width="5.140625" customWidth="1"/>
    <col min="9" max="9" width="4.28515625" customWidth="1"/>
    <col min="10" max="10" width="4" customWidth="1"/>
    <col min="11" max="11" width="4" bestFit="1" customWidth="1"/>
    <col min="12" max="12" width="22.7109375" customWidth="1"/>
    <col min="13" max="14" width="3" customWidth="1"/>
    <col min="15" max="15" width="4" bestFit="1" customWidth="1"/>
    <col min="16" max="16" width="4.140625" customWidth="1"/>
    <col min="17" max="17" width="4.5703125" customWidth="1"/>
    <col min="18" max="18" width="4.140625" customWidth="1"/>
    <col min="19" max="24" width="2.85546875" customWidth="1"/>
    <col min="25" max="25" width="17.7109375" customWidth="1"/>
    <col min="26" max="26" width="1.5703125" customWidth="1"/>
    <col min="27" max="16384" width="9.140625" hidden="1"/>
  </cols>
  <sheetData>
    <row r="1" spans="1:25" ht="9" customHeight="1">
      <c r="A1" s="151"/>
      <c r="B1" s="152"/>
      <c r="C1" s="153"/>
      <c r="D1" s="167" t="s">
        <v>0</v>
      </c>
      <c r="E1" s="168"/>
      <c r="F1" s="168"/>
      <c r="G1" s="168"/>
      <c r="H1" s="168"/>
      <c r="I1" s="168"/>
      <c r="J1" s="168"/>
      <c r="K1" s="168"/>
      <c r="L1" s="168"/>
      <c r="M1" s="168"/>
      <c r="N1" s="168"/>
      <c r="O1" s="169"/>
      <c r="P1" s="188" t="s">
        <v>1</v>
      </c>
      <c r="Q1" s="189"/>
      <c r="R1" s="189"/>
      <c r="S1" s="189"/>
      <c r="T1" s="189"/>
      <c r="U1" s="189"/>
      <c r="V1" s="189"/>
      <c r="W1" s="189"/>
      <c r="X1" s="189"/>
      <c r="Y1" s="190"/>
    </row>
    <row r="2" spans="1:25" ht="17.25" customHeight="1" thickBot="1">
      <c r="A2" s="154"/>
      <c r="B2" s="155"/>
      <c r="C2" s="156"/>
      <c r="D2" s="262" t="s">
        <v>2</v>
      </c>
      <c r="E2" s="263"/>
      <c r="F2" s="263"/>
      <c r="G2" s="263"/>
      <c r="H2" s="263"/>
      <c r="I2" s="263"/>
      <c r="J2" s="263"/>
      <c r="K2" s="263"/>
      <c r="L2" s="263"/>
      <c r="M2" s="263"/>
      <c r="N2" s="263"/>
      <c r="O2" s="264"/>
      <c r="P2" s="191" t="s">
        <v>3</v>
      </c>
      <c r="Q2" s="192"/>
      <c r="R2" s="192"/>
      <c r="S2" s="192"/>
      <c r="T2" s="192"/>
      <c r="U2" s="192"/>
      <c r="V2" s="192"/>
      <c r="W2" s="192"/>
      <c r="X2" s="192"/>
      <c r="Y2" s="193"/>
    </row>
    <row r="3" spans="1:25" ht="9" customHeight="1">
      <c r="A3" s="154"/>
      <c r="B3" s="155"/>
      <c r="C3" s="156"/>
      <c r="D3" s="262"/>
      <c r="E3" s="263"/>
      <c r="F3" s="263"/>
      <c r="G3" s="263"/>
      <c r="H3" s="263"/>
      <c r="I3" s="263"/>
      <c r="J3" s="263"/>
      <c r="K3" s="263"/>
      <c r="L3" s="263"/>
      <c r="M3" s="263"/>
      <c r="N3" s="263"/>
      <c r="O3" s="263"/>
      <c r="P3" s="271" t="s">
        <v>4</v>
      </c>
      <c r="Q3" s="245"/>
      <c r="R3" s="245" t="s">
        <v>5</v>
      </c>
      <c r="S3" s="245"/>
      <c r="T3" s="245" t="s">
        <v>6</v>
      </c>
      <c r="U3" s="245"/>
      <c r="V3" s="245"/>
      <c r="W3" s="245"/>
      <c r="X3" s="197" t="s">
        <v>7</v>
      </c>
      <c r="Y3" s="198"/>
    </row>
    <row r="4" spans="1:25" ht="12.95" customHeight="1" thickBot="1">
      <c r="A4" s="154"/>
      <c r="B4" s="155"/>
      <c r="C4" s="156"/>
      <c r="D4" s="265"/>
      <c r="E4" s="266"/>
      <c r="F4" s="266"/>
      <c r="G4" s="266"/>
      <c r="H4" s="266"/>
      <c r="I4" s="266"/>
      <c r="J4" s="266"/>
      <c r="K4" s="266"/>
      <c r="L4" s="266"/>
      <c r="M4" s="266"/>
      <c r="N4" s="266"/>
      <c r="O4" s="266"/>
      <c r="P4" s="270" t="s">
        <v>8</v>
      </c>
      <c r="Q4" s="244"/>
      <c r="R4" s="199">
        <v>6</v>
      </c>
      <c r="S4" s="244"/>
      <c r="T4" s="272">
        <v>44146</v>
      </c>
      <c r="U4" s="272"/>
      <c r="V4" s="272"/>
      <c r="W4" s="272"/>
      <c r="X4" s="199" t="s">
        <v>9</v>
      </c>
      <c r="Y4" s="200"/>
    </row>
    <row r="5" spans="1:25" ht="13.5" customHeight="1">
      <c r="A5" s="163" t="s">
        <v>10</v>
      </c>
      <c r="B5" s="164"/>
      <c r="C5" s="164"/>
      <c r="D5" s="164"/>
      <c r="E5" s="164"/>
      <c r="F5" s="165"/>
      <c r="G5" s="212" t="s">
        <v>11</v>
      </c>
      <c r="H5" s="213"/>
      <c r="I5" s="213"/>
      <c r="J5" s="213"/>
      <c r="K5" s="213"/>
      <c r="L5" s="213"/>
      <c r="M5" s="209" t="s">
        <v>12</v>
      </c>
      <c r="N5" s="210"/>
      <c r="O5" s="211"/>
      <c r="P5" s="201" t="s">
        <v>13</v>
      </c>
      <c r="Q5" s="202"/>
      <c r="R5" s="202"/>
      <c r="S5" s="202"/>
      <c r="T5" s="203"/>
      <c r="U5" s="186" t="s">
        <v>14</v>
      </c>
      <c r="V5" s="218"/>
      <c r="W5" s="219"/>
      <c r="X5" s="186" t="s">
        <v>15</v>
      </c>
      <c r="Y5" s="187"/>
    </row>
    <row r="6" spans="1:25" ht="13.5" customHeight="1" thickBot="1">
      <c r="A6" s="207" t="s">
        <v>16</v>
      </c>
      <c r="B6" s="208"/>
      <c r="C6" s="208"/>
      <c r="D6" s="208"/>
      <c r="E6" s="208"/>
      <c r="F6" s="208"/>
      <c r="G6" s="214" t="s">
        <v>17</v>
      </c>
      <c r="H6" s="215"/>
      <c r="I6" s="215"/>
      <c r="J6" s="215"/>
      <c r="K6" s="215"/>
      <c r="L6" s="216"/>
      <c r="M6" s="204">
        <v>1</v>
      </c>
      <c r="N6" s="205"/>
      <c r="O6" s="217"/>
      <c r="P6" s="232" t="s">
        <v>18</v>
      </c>
      <c r="Q6" s="233"/>
      <c r="R6" s="233"/>
      <c r="S6" s="233"/>
      <c r="T6" s="233"/>
      <c r="U6" s="204">
        <f>M6</f>
        <v>1</v>
      </c>
      <c r="V6" s="205"/>
      <c r="W6" s="206"/>
      <c r="X6" s="220">
        <v>44197</v>
      </c>
      <c r="Y6" s="221"/>
    </row>
    <row r="7" spans="1:25" ht="13.5" customHeight="1" thickBot="1">
      <c r="A7" s="194" t="s">
        <v>19</v>
      </c>
      <c r="B7" s="195"/>
      <c r="C7" s="195"/>
      <c r="D7" s="195"/>
      <c r="E7" s="195"/>
      <c r="F7" s="195"/>
      <c r="G7" s="195"/>
      <c r="H7" s="195"/>
      <c r="I7" s="195"/>
      <c r="J7" s="195"/>
      <c r="K7" s="195"/>
      <c r="L7" s="195"/>
      <c r="M7" s="195"/>
      <c r="N7" s="195"/>
      <c r="O7" s="195"/>
      <c r="P7" s="195"/>
      <c r="Q7" s="195"/>
      <c r="R7" s="195"/>
      <c r="S7" s="195"/>
      <c r="T7" s="195"/>
      <c r="U7" s="195"/>
      <c r="V7" s="195"/>
      <c r="W7" s="195"/>
      <c r="X7" s="195"/>
      <c r="Y7" s="196"/>
    </row>
    <row r="8" spans="1:25" ht="17.25" customHeight="1" thickBot="1">
      <c r="A8" s="182"/>
      <c r="B8" s="183"/>
      <c r="C8" s="183"/>
      <c r="D8" s="77"/>
      <c r="E8" s="77"/>
      <c r="F8" s="77"/>
      <c r="G8" s="77"/>
      <c r="H8" s="77"/>
      <c r="I8" s="77"/>
      <c r="J8" s="77"/>
      <c r="K8" s="77"/>
      <c r="L8" s="77"/>
      <c r="M8" s="77"/>
      <c r="N8" s="77"/>
      <c r="O8" s="77"/>
      <c r="P8" s="77"/>
      <c r="Q8" s="77"/>
      <c r="R8" s="184" t="s">
        <v>20</v>
      </c>
      <c r="S8" s="184"/>
      <c r="T8" s="184"/>
      <c r="U8" s="184"/>
      <c r="V8" s="184"/>
      <c r="W8" s="184"/>
      <c r="X8" s="184"/>
      <c r="Y8" s="185"/>
    </row>
    <row r="9" spans="1:25" ht="11.1" customHeight="1" thickBot="1">
      <c r="A9" s="157" t="s">
        <v>21</v>
      </c>
      <c r="B9" s="158"/>
      <c r="C9" s="158" t="s">
        <v>22</v>
      </c>
      <c r="D9" s="161"/>
      <c r="E9" s="55"/>
      <c r="F9" s="250" t="s">
        <v>23</v>
      </c>
      <c r="G9" s="250"/>
      <c r="H9" s="250"/>
      <c r="I9" s="250"/>
      <c r="J9" s="250"/>
      <c r="K9" s="250"/>
      <c r="L9" s="89" t="s">
        <v>24</v>
      </c>
      <c r="M9" s="240" t="s">
        <v>25</v>
      </c>
      <c r="N9" s="240"/>
      <c r="O9" s="240"/>
      <c r="P9" s="240"/>
      <c r="Q9" s="240"/>
      <c r="R9" s="240"/>
      <c r="S9" s="240"/>
      <c r="T9" s="240"/>
      <c r="U9" s="240"/>
      <c r="V9" s="240"/>
      <c r="W9" s="240"/>
      <c r="X9" s="240"/>
      <c r="Y9" s="241"/>
    </row>
    <row r="10" spans="1:25" ht="9.9499999999999993" customHeight="1" thickBot="1">
      <c r="A10" s="159"/>
      <c r="B10" s="160"/>
      <c r="C10" s="160"/>
      <c r="D10" s="162"/>
      <c r="E10" s="177" t="s">
        <v>26</v>
      </c>
      <c r="F10" s="75"/>
      <c r="G10" s="75" t="s">
        <v>27</v>
      </c>
      <c r="H10" s="75" t="s">
        <v>28</v>
      </c>
      <c r="I10" s="75" t="s">
        <v>29</v>
      </c>
      <c r="J10" s="75" t="s">
        <v>30</v>
      </c>
      <c r="K10" s="75" t="s">
        <v>31</v>
      </c>
      <c r="L10" s="170" t="s">
        <v>32</v>
      </c>
      <c r="M10" s="242" t="s">
        <v>33</v>
      </c>
      <c r="N10" s="242"/>
      <c r="O10" s="242"/>
      <c r="P10" s="242"/>
      <c r="Q10" s="242"/>
      <c r="R10" s="242"/>
      <c r="S10" s="242"/>
      <c r="T10" s="242"/>
      <c r="U10" s="242"/>
      <c r="V10" s="242"/>
      <c r="W10" s="242"/>
      <c r="X10" s="242"/>
      <c r="Y10" s="243"/>
    </row>
    <row r="11" spans="1:25" ht="11.25" customHeight="1">
      <c r="A11" s="90" t="s">
        <v>31</v>
      </c>
      <c r="B11" s="91" t="s">
        <v>34</v>
      </c>
      <c r="C11" s="92" t="s">
        <v>35</v>
      </c>
      <c r="D11" s="91" t="s">
        <v>36</v>
      </c>
      <c r="E11" s="177"/>
      <c r="F11" s="75" t="s">
        <v>35</v>
      </c>
      <c r="G11" s="56">
        <v>5</v>
      </c>
      <c r="H11" s="57">
        <v>6</v>
      </c>
      <c r="I11" s="57">
        <v>7</v>
      </c>
      <c r="J11" s="57">
        <v>8</v>
      </c>
      <c r="K11" s="58">
        <v>9</v>
      </c>
      <c r="L11" s="170"/>
      <c r="M11" s="242"/>
      <c r="N11" s="242"/>
      <c r="O11" s="242"/>
      <c r="P11" s="242"/>
      <c r="Q11" s="242"/>
      <c r="R11" s="242"/>
      <c r="S11" s="242"/>
      <c r="T11" s="242"/>
      <c r="U11" s="242"/>
      <c r="V11" s="242"/>
      <c r="W11" s="242"/>
      <c r="X11" s="242"/>
      <c r="Y11" s="243"/>
    </row>
    <row r="12" spans="1:25" ht="11.25" customHeight="1">
      <c r="A12" s="69" t="s">
        <v>30</v>
      </c>
      <c r="B12" s="53" t="s">
        <v>37</v>
      </c>
      <c r="C12" s="93" t="s">
        <v>38</v>
      </c>
      <c r="D12" s="53" t="s">
        <v>39</v>
      </c>
      <c r="E12" s="177"/>
      <c r="F12" s="75" t="s">
        <v>38</v>
      </c>
      <c r="G12" s="59">
        <v>4</v>
      </c>
      <c r="H12" s="60">
        <v>5</v>
      </c>
      <c r="I12" s="61">
        <v>6</v>
      </c>
      <c r="J12" s="61">
        <v>7</v>
      </c>
      <c r="K12" s="62">
        <v>8</v>
      </c>
      <c r="L12" s="170" t="s">
        <v>40</v>
      </c>
      <c r="M12" s="251" t="s">
        <v>41</v>
      </c>
      <c r="N12" s="251"/>
      <c r="O12" s="251"/>
      <c r="P12" s="251"/>
      <c r="Q12" s="251"/>
      <c r="R12" s="251"/>
      <c r="S12" s="251"/>
      <c r="T12" s="251"/>
      <c r="U12" s="251"/>
      <c r="V12" s="251"/>
      <c r="W12" s="251"/>
      <c r="X12" s="251"/>
      <c r="Y12" s="252"/>
    </row>
    <row r="13" spans="1:25" ht="10.5" customHeight="1">
      <c r="A13" s="69" t="s">
        <v>29</v>
      </c>
      <c r="B13" s="53" t="s">
        <v>42</v>
      </c>
      <c r="C13" s="93" t="s">
        <v>43</v>
      </c>
      <c r="D13" s="53" t="s">
        <v>44</v>
      </c>
      <c r="E13" s="177"/>
      <c r="F13" s="75" t="s">
        <v>43</v>
      </c>
      <c r="G13" s="63">
        <v>3</v>
      </c>
      <c r="H13" s="60">
        <v>4</v>
      </c>
      <c r="I13" s="60">
        <v>5</v>
      </c>
      <c r="J13" s="61">
        <v>6</v>
      </c>
      <c r="K13" s="62">
        <v>7</v>
      </c>
      <c r="L13" s="170"/>
      <c r="M13" s="251"/>
      <c r="N13" s="251"/>
      <c r="O13" s="251"/>
      <c r="P13" s="251"/>
      <c r="Q13" s="251"/>
      <c r="R13" s="251"/>
      <c r="S13" s="251"/>
      <c r="T13" s="251"/>
      <c r="U13" s="251"/>
      <c r="V13" s="251"/>
      <c r="W13" s="251"/>
      <c r="X13" s="251"/>
      <c r="Y13" s="252"/>
    </row>
    <row r="14" spans="1:25" ht="10.5" customHeight="1">
      <c r="A14" s="69" t="s">
        <v>28</v>
      </c>
      <c r="B14" s="53" t="s">
        <v>45</v>
      </c>
      <c r="C14" s="93" t="s">
        <v>46</v>
      </c>
      <c r="D14" s="53" t="s">
        <v>47</v>
      </c>
      <c r="E14" s="177"/>
      <c r="F14" s="75" t="s">
        <v>46</v>
      </c>
      <c r="G14" s="63">
        <v>2</v>
      </c>
      <c r="H14" s="64">
        <v>3</v>
      </c>
      <c r="I14" s="60">
        <v>4</v>
      </c>
      <c r="J14" s="60">
        <v>5</v>
      </c>
      <c r="K14" s="62">
        <v>6</v>
      </c>
      <c r="L14" s="170" t="s">
        <v>48</v>
      </c>
      <c r="M14" s="253" t="s">
        <v>49</v>
      </c>
      <c r="N14" s="253"/>
      <c r="O14" s="253"/>
      <c r="P14" s="253"/>
      <c r="Q14" s="253"/>
      <c r="R14" s="253"/>
      <c r="S14" s="253"/>
      <c r="T14" s="253"/>
      <c r="U14" s="253"/>
      <c r="V14" s="253"/>
      <c r="W14" s="253"/>
      <c r="X14" s="253"/>
      <c r="Y14" s="254"/>
    </row>
    <row r="15" spans="1:25" ht="11.25" customHeight="1" thickBot="1">
      <c r="A15" s="70" t="s">
        <v>27</v>
      </c>
      <c r="B15" s="54" t="s">
        <v>50</v>
      </c>
      <c r="C15" s="94" t="s">
        <v>51</v>
      </c>
      <c r="D15" s="54" t="s">
        <v>52</v>
      </c>
      <c r="E15" s="178"/>
      <c r="F15" s="76" t="s">
        <v>51</v>
      </c>
      <c r="G15" s="65">
        <v>1</v>
      </c>
      <c r="H15" s="66">
        <v>2</v>
      </c>
      <c r="I15" s="66">
        <v>3</v>
      </c>
      <c r="J15" s="67">
        <v>4</v>
      </c>
      <c r="K15" s="68">
        <v>5</v>
      </c>
      <c r="L15" s="171"/>
      <c r="M15" s="255"/>
      <c r="N15" s="255"/>
      <c r="O15" s="255"/>
      <c r="P15" s="255"/>
      <c r="Q15" s="255"/>
      <c r="R15" s="255"/>
      <c r="S15" s="255"/>
      <c r="T15" s="255"/>
      <c r="U15" s="255"/>
      <c r="V15" s="255"/>
      <c r="W15" s="255"/>
      <c r="X15" s="255"/>
      <c r="Y15" s="256"/>
    </row>
    <row r="16" spans="1:25" ht="11.1" customHeight="1" thickBot="1">
      <c r="A16" s="179" t="s">
        <v>53</v>
      </c>
      <c r="B16" s="180"/>
      <c r="C16" s="180"/>
      <c r="D16" s="180"/>
      <c r="E16" s="180"/>
      <c r="F16" s="180"/>
      <c r="G16" s="180"/>
      <c r="H16" s="180"/>
      <c r="I16" s="180"/>
      <c r="J16" s="180"/>
      <c r="K16" s="180"/>
      <c r="L16" s="180"/>
      <c r="M16" s="180"/>
      <c r="N16" s="180"/>
      <c r="O16" s="180"/>
      <c r="P16" s="180"/>
      <c r="Q16" s="180"/>
      <c r="R16" s="180"/>
      <c r="S16" s="180"/>
      <c r="T16" s="180"/>
      <c r="U16" s="180"/>
      <c r="V16" s="180"/>
      <c r="W16" s="180"/>
      <c r="X16" s="180"/>
      <c r="Y16" s="181"/>
    </row>
    <row r="17" spans="1:26" ht="11.45" customHeight="1">
      <c r="A17" s="172" t="s">
        <v>54</v>
      </c>
      <c r="B17" s="173"/>
      <c r="C17" s="173"/>
      <c r="D17" s="246" t="s">
        <v>55</v>
      </c>
      <c r="E17" s="247"/>
      <c r="F17" s="259" t="s">
        <v>56</v>
      </c>
      <c r="G17" s="260"/>
      <c r="H17" s="261"/>
      <c r="I17" s="259" t="s">
        <v>57</v>
      </c>
      <c r="J17" s="260"/>
      <c r="K17" s="261"/>
      <c r="L17" s="257" t="s">
        <v>58</v>
      </c>
      <c r="M17" s="259" t="s">
        <v>59</v>
      </c>
      <c r="N17" s="260"/>
      <c r="O17" s="261"/>
      <c r="P17" s="246" t="s">
        <v>60</v>
      </c>
      <c r="Q17" s="267"/>
      <c r="R17" s="267"/>
      <c r="S17" s="267"/>
      <c r="T17" s="267"/>
      <c r="U17" s="267"/>
      <c r="V17" s="267"/>
      <c r="W17" s="267"/>
      <c r="X17" s="267"/>
      <c r="Y17" s="267"/>
    </row>
    <row r="18" spans="1:26" ht="12.6" customHeight="1" thickBot="1">
      <c r="A18" s="174"/>
      <c r="B18" s="175"/>
      <c r="C18" s="175"/>
      <c r="D18" s="248"/>
      <c r="E18" s="249"/>
      <c r="F18" s="81" t="s">
        <v>61</v>
      </c>
      <c r="G18" s="81" t="s">
        <v>62</v>
      </c>
      <c r="H18" s="80" t="s">
        <v>63</v>
      </c>
      <c r="I18" s="81" t="s">
        <v>61</v>
      </c>
      <c r="J18" s="81" t="s">
        <v>62</v>
      </c>
      <c r="K18" s="80" t="s">
        <v>64</v>
      </c>
      <c r="L18" s="258"/>
      <c r="M18" s="81" t="s">
        <v>61</v>
      </c>
      <c r="N18" s="81" t="s">
        <v>62</v>
      </c>
      <c r="O18" s="81" t="s">
        <v>65</v>
      </c>
      <c r="P18" s="268"/>
      <c r="Q18" s="269"/>
      <c r="R18" s="269"/>
      <c r="S18" s="269"/>
      <c r="T18" s="269"/>
      <c r="U18" s="269"/>
      <c r="V18" s="269"/>
      <c r="W18" s="269"/>
      <c r="X18" s="269"/>
      <c r="Y18" s="269"/>
      <c r="Z18" s="74"/>
    </row>
    <row r="19" spans="1:26" ht="38.25" customHeight="1" thickBot="1">
      <c r="A19" s="82">
        <v>1</v>
      </c>
      <c r="B19" s="166" t="s">
        <v>66</v>
      </c>
      <c r="C19" s="138"/>
      <c r="D19" s="149" t="s">
        <v>67</v>
      </c>
      <c r="E19" s="150"/>
      <c r="F19" s="83">
        <v>2</v>
      </c>
      <c r="G19" s="83">
        <v>3</v>
      </c>
      <c r="H19" s="84">
        <f t="shared" ref="H19:H28" si="0">F19+G19-1</f>
        <v>4</v>
      </c>
      <c r="I19" s="83">
        <v>2</v>
      </c>
      <c r="J19" s="83">
        <v>4</v>
      </c>
      <c r="K19" s="85">
        <f t="shared" ref="K19:K28" si="1">I19+J19-1</f>
        <v>5</v>
      </c>
      <c r="L19" s="113" t="s">
        <v>68</v>
      </c>
      <c r="M19" s="82">
        <v>2</v>
      </c>
      <c r="N19" s="83">
        <v>2</v>
      </c>
      <c r="O19" s="87">
        <f>M19+N19-1</f>
        <v>3</v>
      </c>
      <c r="P19" s="234" t="s">
        <v>69</v>
      </c>
      <c r="Q19" s="235"/>
      <c r="R19" s="235"/>
      <c r="S19" s="235"/>
      <c r="T19" s="235"/>
      <c r="U19" s="235"/>
      <c r="V19" s="235"/>
      <c r="W19" s="235"/>
      <c r="X19" s="235"/>
      <c r="Y19" s="236"/>
      <c r="Z19" s="74"/>
    </row>
    <row r="20" spans="1:26" ht="99" customHeight="1" thickBot="1">
      <c r="A20" s="72">
        <v>2</v>
      </c>
      <c r="B20" s="166" t="s">
        <v>70</v>
      </c>
      <c r="C20" s="138"/>
      <c r="D20" s="149" t="s">
        <v>67</v>
      </c>
      <c r="E20" s="150"/>
      <c r="F20" s="83">
        <v>2</v>
      </c>
      <c r="G20" s="83">
        <v>3</v>
      </c>
      <c r="H20" s="71">
        <f t="shared" si="0"/>
        <v>4</v>
      </c>
      <c r="I20" s="83">
        <v>2</v>
      </c>
      <c r="J20" s="83">
        <v>4</v>
      </c>
      <c r="K20" s="86">
        <f t="shared" si="1"/>
        <v>5</v>
      </c>
      <c r="L20" s="114" t="s">
        <v>71</v>
      </c>
      <c r="M20" s="82">
        <v>2</v>
      </c>
      <c r="N20" s="83">
        <v>2</v>
      </c>
      <c r="O20" s="88">
        <f t="shared" ref="O20:O28" si="2">M20+N20-1</f>
        <v>3</v>
      </c>
      <c r="P20" s="234" t="s">
        <v>72</v>
      </c>
      <c r="Q20" s="235"/>
      <c r="R20" s="235"/>
      <c r="S20" s="235"/>
      <c r="T20" s="235"/>
      <c r="U20" s="235"/>
      <c r="V20" s="235"/>
      <c r="W20" s="235"/>
      <c r="X20" s="235"/>
      <c r="Y20" s="236"/>
      <c r="Z20" s="74"/>
    </row>
    <row r="21" spans="1:26" ht="86.25" customHeight="1" thickBot="1">
      <c r="A21" s="72">
        <v>3</v>
      </c>
      <c r="B21" s="166" t="s">
        <v>70</v>
      </c>
      <c r="C21" s="138"/>
      <c r="D21" s="149" t="s">
        <v>67</v>
      </c>
      <c r="E21" s="150"/>
      <c r="F21" s="83">
        <v>2</v>
      </c>
      <c r="G21" s="83">
        <v>3</v>
      </c>
      <c r="H21" s="71">
        <f t="shared" si="0"/>
        <v>4</v>
      </c>
      <c r="I21" s="83">
        <v>2</v>
      </c>
      <c r="J21" s="83">
        <v>4</v>
      </c>
      <c r="K21" s="86">
        <f t="shared" si="1"/>
        <v>5</v>
      </c>
      <c r="L21" s="114" t="s">
        <v>73</v>
      </c>
      <c r="M21" s="82">
        <v>2</v>
      </c>
      <c r="N21" s="83">
        <v>2</v>
      </c>
      <c r="O21" s="88">
        <f t="shared" si="2"/>
        <v>3</v>
      </c>
      <c r="P21" s="148" t="s">
        <v>74</v>
      </c>
      <c r="Q21" s="146"/>
      <c r="R21" s="146"/>
      <c r="S21" s="146"/>
      <c r="T21" s="146"/>
      <c r="U21" s="146"/>
      <c r="V21" s="146"/>
      <c r="W21" s="146"/>
      <c r="X21" s="146"/>
      <c r="Y21" s="147"/>
      <c r="Z21" s="74"/>
    </row>
    <row r="22" spans="1:26" s="112" customFormat="1" ht="43.5" customHeight="1" thickBot="1">
      <c r="A22" s="108">
        <v>4</v>
      </c>
      <c r="B22" s="176" t="s">
        <v>75</v>
      </c>
      <c r="C22" s="176"/>
      <c r="D22" s="149" t="s">
        <v>67</v>
      </c>
      <c r="E22" s="150"/>
      <c r="F22" s="83">
        <v>2</v>
      </c>
      <c r="G22" s="83">
        <v>3</v>
      </c>
      <c r="H22" s="109">
        <f t="shared" si="0"/>
        <v>4</v>
      </c>
      <c r="I22" s="83">
        <v>2</v>
      </c>
      <c r="J22" s="83">
        <v>4</v>
      </c>
      <c r="K22" s="86">
        <f t="shared" si="1"/>
        <v>5</v>
      </c>
      <c r="L22" s="114" t="s">
        <v>76</v>
      </c>
      <c r="M22" s="110">
        <v>2</v>
      </c>
      <c r="N22" s="95">
        <v>2</v>
      </c>
      <c r="O22" s="88">
        <f t="shared" si="2"/>
        <v>3</v>
      </c>
      <c r="P22" s="237" t="s">
        <v>77</v>
      </c>
      <c r="Q22" s="238"/>
      <c r="R22" s="238"/>
      <c r="S22" s="238"/>
      <c r="T22" s="238"/>
      <c r="U22" s="238"/>
      <c r="V22" s="238"/>
      <c r="W22" s="238"/>
      <c r="X22" s="238"/>
      <c r="Y22" s="239"/>
      <c r="Z22" s="111"/>
    </row>
    <row r="23" spans="1:26" ht="56.25" customHeight="1" thickBot="1">
      <c r="A23" s="72">
        <v>5</v>
      </c>
      <c r="B23" s="166" t="s">
        <v>70</v>
      </c>
      <c r="C23" s="138"/>
      <c r="D23" s="149" t="s">
        <v>67</v>
      </c>
      <c r="E23" s="150"/>
      <c r="F23" s="83">
        <v>2</v>
      </c>
      <c r="G23" s="83">
        <v>3</v>
      </c>
      <c r="H23" s="71">
        <f t="shared" si="0"/>
        <v>4</v>
      </c>
      <c r="I23" s="83">
        <v>2</v>
      </c>
      <c r="J23" s="83">
        <v>4</v>
      </c>
      <c r="K23" s="86">
        <f t="shared" si="1"/>
        <v>5</v>
      </c>
      <c r="L23" s="114" t="s">
        <v>78</v>
      </c>
      <c r="M23" s="82">
        <v>2</v>
      </c>
      <c r="N23" s="83">
        <v>2</v>
      </c>
      <c r="O23" s="88">
        <f t="shared" si="2"/>
        <v>3</v>
      </c>
      <c r="P23" s="148" t="s">
        <v>79</v>
      </c>
      <c r="Q23" s="146"/>
      <c r="R23" s="146"/>
      <c r="S23" s="146"/>
      <c r="T23" s="146"/>
      <c r="U23" s="146"/>
      <c r="V23" s="146"/>
      <c r="W23" s="146"/>
      <c r="X23" s="146"/>
      <c r="Y23" s="147"/>
      <c r="Z23" s="74"/>
    </row>
    <row r="24" spans="1:26" s="112" customFormat="1" ht="84.75" customHeight="1" thickBot="1">
      <c r="A24" s="108">
        <v>6</v>
      </c>
      <c r="B24" s="119" t="s">
        <v>80</v>
      </c>
      <c r="C24" s="120"/>
      <c r="D24" s="149" t="s">
        <v>67</v>
      </c>
      <c r="E24" s="150"/>
      <c r="F24" s="83">
        <v>2</v>
      </c>
      <c r="G24" s="83">
        <v>3</v>
      </c>
      <c r="H24" s="109">
        <f t="shared" si="0"/>
        <v>4</v>
      </c>
      <c r="I24" s="83">
        <v>2</v>
      </c>
      <c r="J24" s="83">
        <v>4</v>
      </c>
      <c r="K24" s="86">
        <f t="shared" si="1"/>
        <v>5</v>
      </c>
      <c r="L24" s="115" t="s">
        <v>81</v>
      </c>
      <c r="M24" s="82">
        <v>2</v>
      </c>
      <c r="N24" s="83">
        <v>2</v>
      </c>
      <c r="O24" s="88">
        <f t="shared" si="2"/>
        <v>3</v>
      </c>
      <c r="P24" s="237" t="s">
        <v>82</v>
      </c>
      <c r="Q24" s="238"/>
      <c r="R24" s="238"/>
      <c r="S24" s="238"/>
      <c r="T24" s="238"/>
      <c r="U24" s="238"/>
      <c r="V24" s="238"/>
      <c r="W24" s="238"/>
      <c r="X24" s="238"/>
      <c r="Y24" s="239"/>
      <c r="Z24" s="111"/>
    </row>
    <row r="25" spans="1:26" ht="72" customHeight="1" thickBot="1">
      <c r="A25" s="72">
        <v>7</v>
      </c>
      <c r="B25" s="119" t="s">
        <v>80</v>
      </c>
      <c r="C25" s="120"/>
      <c r="D25" s="149" t="s">
        <v>67</v>
      </c>
      <c r="E25" s="150"/>
      <c r="F25" s="83">
        <v>2</v>
      </c>
      <c r="G25" s="83">
        <v>3</v>
      </c>
      <c r="H25" s="71">
        <f t="shared" si="0"/>
        <v>4</v>
      </c>
      <c r="I25" s="83">
        <v>2</v>
      </c>
      <c r="J25" s="83">
        <v>4</v>
      </c>
      <c r="K25" s="86">
        <f t="shared" si="1"/>
        <v>5</v>
      </c>
      <c r="L25" s="115" t="s">
        <v>83</v>
      </c>
      <c r="M25" s="82">
        <v>2</v>
      </c>
      <c r="N25" s="83">
        <v>2</v>
      </c>
      <c r="O25" s="88">
        <f t="shared" si="2"/>
        <v>3</v>
      </c>
      <c r="P25" s="148" t="s">
        <v>84</v>
      </c>
      <c r="Q25" s="146"/>
      <c r="R25" s="146"/>
      <c r="S25" s="146"/>
      <c r="T25" s="146"/>
      <c r="U25" s="146"/>
      <c r="V25" s="146"/>
      <c r="W25" s="146"/>
      <c r="X25" s="146"/>
      <c r="Y25" s="147"/>
      <c r="Z25" s="74"/>
    </row>
    <row r="26" spans="1:26" ht="55.5" customHeight="1" thickBot="1">
      <c r="A26" s="72">
        <v>8</v>
      </c>
      <c r="B26" s="137" t="s">
        <v>85</v>
      </c>
      <c r="C26" s="138"/>
      <c r="D26" s="149" t="s">
        <v>67</v>
      </c>
      <c r="E26" s="150"/>
      <c r="F26" s="83">
        <v>2</v>
      </c>
      <c r="G26" s="83">
        <v>3</v>
      </c>
      <c r="H26" s="71">
        <f t="shared" si="0"/>
        <v>4</v>
      </c>
      <c r="I26" s="83">
        <v>2</v>
      </c>
      <c r="J26" s="83">
        <v>4</v>
      </c>
      <c r="K26" s="86">
        <f t="shared" si="1"/>
        <v>5</v>
      </c>
      <c r="L26" s="115" t="s">
        <v>86</v>
      </c>
      <c r="M26" s="82">
        <v>2</v>
      </c>
      <c r="N26" s="83">
        <v>2</v>
      </c>
      <c r="O26" s="88">
        <f t="shared" si="2"/>
        <v>3</v>
      </c>
      <c r="P26" s="237" t="s">
        <v>87</v>
      </c>
      <c r="Q26" s="238"/>
      <c r="R26" s="238"/>
      <c r="S26" s="238"/>
      <c r="T26" s="238"/>
      <c r="U26" s="238"/>
      <c r="V26" s="238"/>
      <c r="W26" s="238"/>
      <c r="X26" s="238"/>
      <c r="Y26" s="239"/>
      <c r="Z26" s="74"/>
    </row>
    <row r="27" spans="1:26" ht="53.25" customHeight="1" thickBot="1">
      <c r="A27" s="72">
        <v>9</v>
      </c>
      <c r="B27" s="135" t="s">
        <v>88</v>
      </c>
      <c r="C27" s="136"/>
      <c r="D27" s="149" t="s">
        <v>67</v>
      </c>
      <c r="E27" s="150"/>
      <c r="F27" s="83">
        <v>2</v>
      </c>
      <c r="G27" s="83">
        <v>3</v>
      </c>
      <c r="H27" s="71">
        <f t="shared" si="0"/>
        <v>4</v>
      </c>
      <c r="I27" s="83">
        <v>2</v>
      </c>
      <c r="J27" s="83">
        <v>4</v>
      </c>
      <c r="K27" s="86">
        <f t="shared" si="1"/>
        <v>5</v>
      </c>
      <c r="L27" s="115" t="s">
        <v>89</v>
      </c>
      <c r="M27" s="82">
        <v>2</v>
      </c>
      <c r="N27" s="83">
        <v>2</v>
      </c>
      <c r="O27" s="88">
        <f t="shared" si="2"/>
        <v>3</v>
      </c>
      <c r="P27" s="145" t="s">
        <v>90</v>
      </c>
      <c r="Q27" s="146"/>
      <c r="R27" s="146"/>
      <c r="S27" s="146"/>
      <c r="T27" s="146"/>
      <c r="U27" s="146"/>
      <c r="V27" s="146"/>
      <c r="W27" s="146"/>
      <c r="X27" s="146"/>
      <c r="Y27" s="147"/>
      <c r="Z27" s="74"/>
    </row>
    <row r="28" spans="1:26" ht="72" customHeight="1" thickBot="1">
      <c r="A28" s="73">
        <v>10</v>
      </c>
      <c r="B28" s="133" t="s">
        <v>91</v>
      </c>
      <c r="C28" s="134"/>
      <c r="D28" s="149" t="s">
        <v>67</v>
      </c>
      <c r="E28" s="150"/>
      <c r="F28" s="83">
        <v>2</v>
      </c>
      <c r="G28" s="83">
        <v>3</v>
      </c>
      <c r="H28" s="71">
        <f t="shared" si="0"/>
        <v>4</v>
      </c>
      <c r="I28" s="83">
        <v>2</v>
      </c>
      <c r="J28" s="83">
        <v>4</v>
      </c>
      <c r="K28" s="86">
        <f t="shared" si="1"/>
        <v>5</v>
      </c>
      <c r="L28" s="115" t="s">
        <v>92</v>
      </c>
      <c r="M28" s="82">
        <v>2</v>
      </c>
      <c r="N28" s="83">
        <v>2</v>
      </c>
      <c r="O28" s="88">
        <f t="shared" si="2"/>
        <v>3</v>
      </c>
      <c r="P28" s="148" t="s">
        <v>93</v>
      </c>
      <c r="Q28" s="146"/>
      <c r="R28" s="146"/>
      <c r="S28" s="146"/>
      <c r="T28" s="146"/>
      <c r="U28" s="146"/>
      <c r="V28" s="146"/>
      <c r="W28" s="146"/>
      <c r="X28" s="146"/>
      <c r="Y28" s="147"/>
      <c r="Z28" s="74"/>
    </row>
    <row r="29" spans="1:26" ht="10.5" customHeight="1">
      <c r="A29" s="124" t="s">
        <v>94</v>
      </c>
      <c r="B29" s="125"/>
      <c r="C29" s="125"/>
      <c r="D29" s="125"/>
      <c r="E29" s="125"/>
      <c r="F29" s="125"/>
      <c r="G29" s="125"/>
      <c r="H29" s="125"/>
      <c r="I29" s="125"/>
      <c r="J29" s="125"/>
      <c r="K29" s="125"/>
      <c r="L29" s="125"/>
      <c r="M29" s="125"/>
      <c r="N29" s="125"/>
      <c r="O29" s="125"/>
      <c r="P29" s="125"/>
      <c r="Q29" s="125"/>
      <c r="R29" s="125"/>
      <c r="S29" s="125"/>
      <c r="T29" s="125"/>
      <c r="U29" s="125"/>
      <c r="V29" s="125"/>
      <c r="W29" s="125"/>
      <c r="X29" s="125"/>
      <c r="Y29" s="126"/>
    </row>
    <row r="30" spans="1:26" ht="15" customHeight="1">
      <c r="A30" s="127" t="s">
        <v>95</v>
      </c>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9"/>
    </row>
    <row r="31" spans="1:26" ht="7.5" customHeight="1" thickBot="1">
      <c r="A31" s="130"/>
      <c r="B31" s="131"/>
      <c r="C31" s="131"/>
      <c r="D31" s="131"/>
      <c r="E31" s="131"/>
      <c r="F31" s="131"/>
      <c r="G31" s="131"/>
      <c r="H31" s="131"/>
      <c r="I31" s="131"/>
      <c r="J31" s="131"/>
      <c r="K31" s="131"/>
      <c r="L31" s="131"/>
      <c r="M31" s="131"/>
      <c r="N31" s="131"/>
      <c r="O31" s="131"/>
      <c r="P31" s="131"/>
      <c r="Q31" s="131"/>
      <c r="R31" s="131"/>
      <c r="S31" s="131"/>
      <c r="T31" s="131"/>
      <c r="U31" s="131"/>
      <c r="V31" s="131"/>
      <c r="W31" s="131"/>
      <c r="X31" s="131"/>
      <c r="Y31" s="132"/>
    </row>
    <row r="32" spans="1:26" ht="12.6" customHeight="1">
      <c r="A32" s="116" t="s">
        <v>96</v>
      </c>
      <c r="B32" s="117"/>
      <c r="C32" s="118"/>
      <c r="D32" s="139" t="s">
        <v>97</v>
      </c>
      <c r="E32" s="140"/>
      <c r="F32" s="140"/>
      <c r="G32" s="140"/>
      <c r="H32" s="140"/>
      <c r="I32" s="140"/>
      <c r="J32" s="140"/>
      <c r="K32" s="141"/>
      <c r="L32" s="228" t="s">
        <v>98</v>
      </c>
      <c r="M32" s="140"/>
      <c r="N32" s="140"/>
      <c r="O32" s="140"/>
      <c r="P32" s="141"/>
      <c r="Q32" s="78" t="s">
        <v>99</v>
      </c>
      <c r="R32" s="222">
        <v>44251</v>
      </c>
      <c r="S32" s="223"/>
      <c r="T32" s="223"/>
      <c r="U32" s="223"/>
      <c r="V32" s="223"/>
      <c r="W32" s="223"/>
      <c r="X32" s="223"/>
      <c r="Y32" s="224"/>
    </row>
    <row r="33" spans="1:25" ht="12" customHeight="1" thickBot="1">
      <c r="A33" s="121" t="s">
        <v>100</v>
      </c>
      <c r="B33" s="122"/>
      <c r="C33" s="123"/>
      <c r="D33" s="142" t="s">
        <v>101</v>
      </c>
      <c r="E33" s="143"/>
      <c r="F33" s="143"/>
      <c r="G33" s="143"/>
      <c r="H33" s="143"/>
      <c r="I33" s="143"/>
      <c r="J33" s="143"/>
      <c r="K33" s="144"/>
      <c r="L33" s="229" t="s">
        <v>102</v>
      </c>
      <c r="M33" s="230"/>
      <c r="N33" s="230"/>
      <c r="O33" s="230"/>
      <c r="P33" s="231"/>
      <c r="Q33" s="79" t="s">
        <v>99</v>
      </c>
      <c r="R33" s="225">
        <v>44251</v>
      </c>
      <c r="S33" s="226"/>
      <c r="T33" s="226"/>
      <c r="U33" s="226"/>
      <c r="V33" s="226"/>
      <c r="W33" s="226"/>
      <c r="X33" s="226"/>
      <c r="Y33" s="227"/>
    </row>
    <row r="34" spans="1:25" hidden="1">
      <c r="A34" s="74"/>
      <c r="B34" s="74"/>
      <c r="C34" s="74"/>
      <c r="D34" s="74"/>
      <c r="E34" s="74"/>
      <c r="F34" s="74"/>
      <c r="G34" s="74"/>
      <c r="H34" s="74"/>
      <c r="I34" s="74"/>
      <c r="J34" s="74"/>
      <c r="K34" s="74"/>
      <c r="L34" s="74"/>
      <c r="M34" s="74"/>
      <c r="N34" s="74"/>
      <c r="O34" s="74"/>
      <c r="P34" s="74"/>
      <c r="Q34" s="74"/>
      <c r="R34" s="74"/>
      <c r="S34" s="74"/>
      <c r="T34" s="74"/>
      <c r="U34" s="74"/>
      <c r="V34" s="74"/>
      <c r="W34" s="74"/>
      <c r="X34" s="74"/>
      <c r="Y34" s="74"/>
    </row>
    <row r="46" spans="1:25" ht="48" hidden="1" customHeight="1"/>
    <row r="47" spans="1:25" ht="57" hidden="1" customHeight="1"/>
    <row r="48" spans="1:25" ht="34.5" hidden="1" customHeight="1"/>
  </sheetData>
  <mergeCells count="87">
    <mergeCell ref="I17:K17"/>
    <mergeCell ref="D24:E24"/>
    <mergeCell ref="D25:E25"/>
    <mergeCell ref="D19:E19"/>
    <mergeCell ref="D20:E20"/>
    <mergeCell ref="D21:E21"/>
    <mergeCell ref="D22:E22"/>
    <mergeCell ref="D23:E23"/>
    <mergeCell ref="R4:S4"/>
    <mergeCell ref="R3:S3"/>
    <mergeCell ref="D17:E18"/>
    <mergeCell ref="F9:K9"/>
    <mergeCell ref="L12:L13"/>
    <mergeCell ref="M12:Y13"/>
    <mergeCell ref="M14:Y15"/>
    <mergeCell ref="L17:L18"/>
    <mergeCell ref="M17:O17"/>
    <mergeCell ref="D2:O4"/>
    <mergeCell ref="P17:Y18"/>
    <mergeCell ref="P4:Q4"/>
    <mergeCell ref="P3:Q3"/>
    <mergeCell ref="T4:W4"/>
    <mergeCell ref="T3:W3"/>
    <mergeCell ref="F17:H17"/>
    <mergeCell ref="X6:Y6"/>
    <mergeCell ref="R32:Y32"/>
    <mergeCell ref="R33:Y33"/>
    <mergeCell ref="L32:P32"/>
    <mergeCell ref="L33:P33"/>
    <mergeCell ref="P6:T6"/>
    <mergeCell ref="P19:Y19"/>
    <mergeCell ref="P20:Y20"/>
    <mergeCell ref="P21:Y21"/>
    <mergeCell ref="P22:Y22"/>
    <mergeCell ref="P23:Y23"/>
    <mergeCell ref="P24:Y24"/>
    <mergeCell ref="P25:Y25"/>
    <mergeCell ref="P26:Y26"/>
    <mergeCell ref="M9:Y9"/>
    <mergeCell ref="M10:Y11"/>
    <mergeCell ref="A8:C8"/>
    <mergeCell ref="R8:Y8"/>
    <mergeCell ref="X5:Y5"/>
    <mergeCell ref="P1:Y1"/>
    <mergeCell ref="P2:Y2"/>
    <mergeCell ref="A7:Y7"/>
    <mergeCell ref="X3:Y3"/>
    <mergeCell ref="X4:Y4"/>
    <mergeCell ref="P5:T5"/>
    <mergeCell ref="U6:W6"/>
    <mergeCell ref="A6:F6"/>
    <mergeCell ref="M5:O5"/>
    <mergeCell ref="G5:L5"/>
    <mergeCell ref="G6:L6"/>
    <mergeCell ref="M6:O6"/>
    <mergeCell ref="U5:W5"/>
    <mergeCell ref="B24:C24"/>
    <mergeCell ref="A1:C4"/>
    <mergeCell ref="A9:B10"/>
    <mergeCell ref="C9:D10"/>
    <mergeCell ref="A5:F5"/>
    <mergeCell ref="B21:C21"/>
    <mergeCell ref="D1:O1"/>
    <mergeCell ref="L14:L15"/>
    <mergeCell ref="A17:C18"/>
    <mergeCell ref="B22:C22"/>
    <mergeCell ref="B23:C23"/>
    <mergeCell ref="B19:C19"/>
    <mergeCell ref="B20:C20"/>
    <mergeCell ref="E10:E15"/>
    <mergeCell ref="A16:Y16"/>
    <mergeCell ref="L10:L11"/>
    <mergeCell ref="A32:C32"/>
    <mergeCell ref="B25:C25"/>
    <mergeCell ref="A33:C33"/>
    <mergeCell ref="A29:Y29"/>
    <mergeCell ref="A30:Y31"/>
    <mergeCell ref="B28:C28"/>
    <mergeCell ref="B27:C27"/>
    <mergeCell ref="B26:C26"/>
    <mergeCell ref="D32:K32"/>
    <mergeCell ref="D33:K33"/>
    <mergeCell ref="P27:Y27"/>
    <mergeCell ref="P28:Y28"/>
    <mergeCell ref="D26:E26"/>
    <mergeCell ref="D27:E27"/>
    <mergeCell ref="D28:E28"/>
  </mergeCells>
  <phoneticPr fontId="21" type="noConversion"/>
  <conditionalFormatting sqref="K19:K21 K24 K26:K27">
    <cfRule type="cellIs" dxfId="56" priority="118" operator="greaterThan">
      <formula>5.91</formula>
    </cfRule>
    <cfRule type="cellIs" dxfId="55" priority="119" operator="between">
      <formula>3.5</formula>
      <formula>5.9</formula>
    </cfRule>
    <cfRule type="cellIs" dxfId="54" priority="120" operator="between">
      <formula>0.9</formula>
      <formula>3.49</formula>
    </cfRule>
  </conditionalFormatting>
  <conditionalFormatting sqref="K22">
    <cfRule type="cellIs" dxfId="53" priority="82" operator="greaterThan">
      <formula>5.91</formula>
    </cfRule>
    <cfRule type="cellIs" dxfId="52" priority="83" operator="between">
      <formula>3.5</formula>
      <formula>5.9</formula>
    </cfRule>
    <cfRule type="cellIs" dxfId="51" priority="84" operator="between">
      <formula>0.9</formula>
      <formula>3.49</formula>
    </cfRule>
  </conditionalFormatting>
  <conditionalFormatting sqref="K23">
    <cfRule type="cellIs" dxfId="50" priority="79" operator="greaterThan">
      <formula>5.91</formula>
    </cfRule>
    <cfRule type="cellIs" dxfId="49" priority="80" operator="between">
      <formula>3.5</formula>
      <formula>5.9</formula>
    </cfRule>
    <cfRule type="cellIs" dxfId="48" priority="81" operator="between">
      <formula>0.9</formula>
      <formula>3.49</formula>
    </cfRule>
  </conditionalFormatting>
  <conditionalFormatting sqref="K25">
    <cfRule type="cellIs" dxfId="47" priority="76" operator="greaterThan">
      <formula>5.91</formula>
    </cfRule>
    <cfRule type="cellIs" dxfId="46" priority="77" operator="between">
      <formula>3.5</formula>
      <formula>5.9</formula>
    </cfRule>
    <cfRule type="cellIs" dxfId="45" priority="78" operator="between">
      <formula>0.9</formula>
      <formula>3.49</formula>
    </cfRule>
  </conditionalFormatting>
  <conditionalFormatting sqref="K28">
    <cfRule type="cellIs" dxfId="44" priority="61" operator="greaterThan">
      <formula>5.91</formula>
    </cfRule>
    <cfRule type="cellIs" dxfId="43" priority="62" operator="between">
      <formula>3.5</formula>
      <formula>5.9</formula>
    </cfRule>
    <cfRule type="cellIs" dxfId="42" priority="63" operator="between">
      <formula>0.9</formula>
      <formula>3.49</formula>
    </cfRule>
  </conditionalFormatting>
  <conditionalFormatting sqref="H19:H21 H24 H26:H27">
    <cfRule type="cellIs" dxfId="41" priority="37" operator="greaterThan">
      <formula>5.91</formula>
    </cfRule>
    <cfRule type="cellIs" dxfId="40" priority="38" operator="between">
      <formula>3.5</formula>
      <formula>5.9</formula>
    </cfRule>
    <cfRule type="cellIs" dxfId="39" priority="39" operator="between">
      <formula>0.9</formula>
      <formula>3.49</formula>
    </cfRule>
  </conditionalFormatting>
  <conditionalFormatting sqref="H22">
    <cfRule type="cellIs" dxfId="38" priority="34" operator="greaterThan">
      <formula>5.91</formula>
    </cfRule>
    <cfRule type="cellIs" dxfId="37" priority="35" operator="between">
      <formula>3.5</formula>
      <formula>5.9</formula>
    </cfRule>
    <cfRule type="cellIs" dxfId="36" priority="36" operator="between">
      <formula>0.9</formula>
      <formula>3.49</formula>
    </cfRule>
  </conditionalFormatting>
  <conditionalFormatting sqref="H23">
    <cfRule type="cellIs" dxfId="35" priority="31" operator="greaterThan">
      <formula>5.91</formula>
    </cfRule>
    <cfRule type="cellIs" dxfId="34" priority="32" operator="between">
      <formula>3.5</formula>
      <formula>5.9</formula>
    </cfRule>
    <cfRule type="cellIs" dxfId="33" priority="33" operator="between">
      <formula>0.9</formula>
      <formula>3.49</formula>
    </cfRule>
  </conditionalFormatting>
  <conditionalFormatting sqref="H25">
    <cfRule type="cellIs" dxfId="32" priority="28" operator="greaterThan">
      <formula>5.91</formula>
    </cfRule>
    <cfRule type="cellIs" dxfId="31" priority="29" operator="between">
      <formula>3.5</formula>
      <formula>5.9</formula>
    </cfRule>
    <cfRule type="cellIs" dxfId="30" priority="30" operator="between">
      <formula>0.9</formula>
      <formula>3.49</formula>
    </cfRule>
  </conditionalFormatting>
  <conditionalFormatting sqref="H28">
    <cfRule type="cellIs" dxfId="29" priority="22" operator="greaterThan">
      <formula>5.91</formula>
    </cfRule>
    <cfRule type="cellIs" dxfId="28" priority="23" operator="between">
      <formula>3.5</formula>
      <formula>5.9</formula>
    </cfRule>
    <cfRule type="cellIs" dxfId="27" priority="24" operator="between">
      <formula>0.9</formula>
      <formula>3.49</formula>
    </cfRule>
  </conditionalFormatting>
  <conditionalFormatting sqref="O28">
    <cfRule type="cellIs" dxfId="26" priority="1" operator="greaterThan">
      <formula>5.91</formula>
    </cfRule>
    <cfRule type="cellIs" dxfId="25" priority="2" operator="between">
      <formula>3.5</formula>
      <formula>5.9</formula>
    </cfRule>
    <cfRule type="cellIs" dxfId="24" priority="3" operator="between">
      <formula>0.9</formula>
      <formula>3.49</formula>
    </cfRule>
  </conditionalFormatting>
  <conditionalFormatting sqref="O19:O21 O24 O26:O27">
    <cfRule type="cellIs" dxfId="23" priority="19" operator="greaterThan">
      <formula>5.91</formula>
    </cfRule>
    <cfRule type="cellIs" dxfId="22" priority="20" operator="between">
      <formula>3.5</formula>
      <formula>5.9</formula>
    </cfRule>
    <cfRule type="cellIs" dxfId="21" priority="21" operator="between">
      <formula>0.9</formula>
      <formula>3.49</formula>
    </cfRule>
  </conditionalFormatting>
  <conditionalFormatting sqref="O22">
    <cfRule type="cellIs" dxfId="20" priority="13" operator="greaterThan">
      <formula>5.91</formula>
    </cfRule>
    <cfRule type="cellIs" dxfId="19" priority="14" operator="between">
      <formula>3.5</formula>
      <formula>5.9</formula>
    </cfRule>
    <cfRule type="cellIs" dxfId="18" priority="15" operator="between">
      <formula>0.9</formula>
      <formula>3.49</formula>
    </cfRule>
  </conditionalFormatting>
  <conditionalFormatting sqref="O23">
    <cfRule type="cellIs" dxfId="17" priority="10" operator="greaterThan">
      <formula>5.91</formula>
    </cfRule>
    <cfRule type="cellIs" dxfId="16" priority="11" operator="between">
      <formula>3.5</formula>
      <formula>5.9</formula>
    </cfRule>
    <cfRule type="cellIs" dxfId="15" priority="12" operator="between">
      <formula>0.9</formula>
      <formula>3.49</formula>
    </cfRule>
  </conditionalFormatting>
  <conditionalFormatting sqref="O25">
    <cfRule type="cellIs" dxfId="14" priority="7" operator="greaterThan">
      <formula>5.91</formula>
    </cfRule>
    <cfRule type="cellIs" dxfId="13" priority="8" operator="between">
      <formula>3.5</formula>
      <formula>5.9</formula>
    </cfRule>
    <cfRule type="cellIs" dxfId="12" priority="9" operator="between">
      <formula>0.9</formula>
      <formula>3.49</formula>
    </cfRule>
  </conditionalFormatting>
  <pageMargins left="0.25" right="0" top="0.25" bottom="0" header="0" footer="0"/>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Check Box 3">
              <controlPr defaultSize="0" autoFill="0" autoLine="0" autoPict="0">
                <anchor moveWithCells="1">
                  <from>
                    <xdr:col>0</xdr:col>
                    <xdr:colOff>66675</xdr:colOff>
                    <xdr:row>7</xdr:row>
                    <xdr:rowOff>28575</xdr:rowOff>
                  </from>
                  <to>
                    <xdr:col>2</xdr:col>
                    <xdr:colOff>219075</xdr:colOff>
                    <xdr:row>7</xdr:row>
                    <xdr:rowOff>190500</xdr:rowOff>
                  </to>
                </anchor>
              </controlPr>
            </control>
          </mc:Choice>
        </mc:AlternateContent>
        <mc:AlternateContent xmlns:mc="http://schemas.openxmlformats.org/markup-compatibility/2006">
          <mc:Choice Requires="x14">
            <control shapeId="1028" r:id="rId5" name="Check Box 4">
              <controlPr locked="0" defaultSize="0" autoFill="0" autoLine="0" autoPict="0">
                <anchor moveWithCells="1">
                  <from>
                    <xdr:col>2</xdr:col>
                    <xdr:colOff>352425</xdr:colOff>
                    <xdr:row>7</xdr:row>
                    <xdr:rowOff>28575</xdr:rowOff>
                  </from>
                  <to>
                    <xdr:col>4</xdr:col>
                    <xdr:colOff>38100</xdr:colOff>
                    <xdr:row>7</xdr:row>
                    <xdr:rowOff>190500</xdr:rowOff>
                  </to>
                </anchor>
              </controlPr>
            </control>
          </mc:Choice>
        </mc:AlternateContent>
        <mc:AlternateContent xmlns:mc="http://schemas.openxmlformats.org/markup-compatibility/2006">
          <mc:Choice Requires="x14">
            <control shapeId="1029" r:id="rId6" name="Check Box 5">
              <controlPr defaultSize="0" autoFill="0" autoLine="0" autoPict="0">
                <anchor moveWithCells="1">
                  <from>
                    <xdr:col>6</xdr:col>
                    <xdr:colOff>9525</xdr:colOff>
                    <xdr:row>7</xdr:row>
                    <xdr:rowOff>28575</xdr:rowOff>
                  </from>
                  <to>
                    <xdr:col>9</xdr:col>
                    <xdr:colOff>219075</xdr:colOff>
                    <xdr:row>7</xdr:row>
                    <xdr:rowOff>190500</xdr:rowOff>
                  </to>
                </anchor>
              </controlPr>
            </control>
          </mc:Choice>
        </mc:AlternateContent>
        <mc:AlternateContent xmlns:mc="http://schemas.openxmlformats.org/markup-compatibility/2006">
          <mc:Choice Requires="x14">
            <control shapeId="1030" r:id="rId7" name="Check Box 6">
              <controlPr locked="0" defaultSize="0" autoFill="0" autoLine="0" autoPict="0">
                <anchor moveWithCells="1">
                  <from>
                    <xdr:col>9</xdr:col>
                    <xdr:colOff>190500</xdr:colOff>
                    <xdr:row>7</xdr:row>
                    <xdr:rowOff>28575</xdr:rowOff>
                  </from>
                  <to>
                    <xdr:col>11</xdr:col>
                    <xdr:colOff>781050</xdr:colOff>
                    <xdr:row>7</xdr:row>
                    <xdr:rowOff>190500</xdr:rowOff>
                  </to>
                </anchor>
              </controlPr>
            </control>
          </mc:Choice>
        </mc:AlternateContent>
        <mc:AlternateContent xmlns:mc="http://schemas.openxmlformats.org/markup-compatibility/2006">
          <mc:Choice Requires="x14">
            <control shapeId="1031" r:id="rId8" name="Check Box 7">
              <controlPr defaultSize="0" autoFill="0" autoLine="0" autoPict="0">
                <anchor moveWithCells="1">
                  <from>
                    <xdr:col>11</xdr:col>
                    <xdr:colOff>647700</xdr:colOff>
                    <xdr:row>7</xdr:row>
                    <xdr:rowOff>28575</xdr:rowOff>
                  </from>
                  <to>
                    <xdr:col>13</xdr:col>
                    <xdr:colOff>47625</xdr:colOff>
                    <xdr:row>7</xdr:row>
                    <xdr:rowOff>190500</xdr:rowOff>
                  </to>
                </anchor>
              </controlPr>
            </control>
          </mc:Choice>
        </mc:AlternateContent>
        <mc:AlternateContent xmlns:mc="http://schemas.openxmlformats.org/markup-compatibility/2006">
          <mc:Choice Requires="x14">
            <control shapeId="1032" r:id="rId9" name="Check Box 8">
              <controlPr defaultSize="0" autoFill="0" autoLine="0" autoPict="0">
                <anchor moveWithCells="1">
                  <from>
                    <xdr:col>12</xdr:col>
                    <xdr:colOff>161925</xdr:colOff>
                    <xdr:row>7</xdr:row>
                    <xdr:rowOff>28575</xdr:rowOff>
                  </from>
                  <to>
                    <xdr:col>17</xdr:col>
                    <xdr:colOff>38100</xdr:colOff>
                    <xdr:row>7</xdr:row>
                    <xdr:rowOff>190500</xdr:rowOff>
                  </to>
                </anchor>
              </controlPr>
            </control>
          </mc:Choice>
        </mc:AlternateContent>
        <mc:AlternateContent xmlns:mc="http://schemas.openxmlformats.org/markup-compatibility/2006">
          <mc:Choice Requires="x14">
            <control shapeId="1039" r:id="rId10" name="Check Box 15">
              <controlPr locked="0" defaultSize="0" autoFill="0" autoLine="0" autoPict="0" altText="FieldCore Employees">
                <anchor moveWithCells="1">
                  <from>
                    <xdr:col>15</xdr:col>
                    <xdr:colOff>266700</xdr:colOff>
                    <xdr:row>6</xdr:row>
                    <xdr:rowOff>161925</xdr:rowOff>
                  </from>
                  <to>
                    <xdr:col>20</xdr:col>
                    <xdr:colOff>114300</xdr:colOff>
                    <xdr:row>7</xdr:row>
                    <xdr:rowOff>200025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D489D34D-9869-455C-9962-BA3ECA764908}">
          <x14:formula1>
            <xm:f>Hazard_Defense_Code!$F$1:$F$5</xm:f>
          </x14:formula1>
          <xm:sqref>I19:J28 F19:G28 M19:N28</xm:sqref>
        </x14:dataValidation>
        <x14:dataValidation type="list" allowBlank="1" showInputMessage="1" showErrorMessage="1" xr:uid="{DA767999-B250-4A89-85C1-162C34E3B701}">
          <x14:formula1>
            <xm:f>Hazard_Defense_Code!$A$78:$A$191</xm:f>
          </x14:formula1>
          <xm:sqref>L19:L28</xm:sqref>
        </x14:dataValidation>
        <x14:dataValidation type="list" allowBlank="1" showInputMessage="1" showErrorMessage="1" xr:uid="{6D4ED0D4-47CA-4089-91E7-77A2546EBD2F}">
          <x14:formula1>
            <xm:f>Hazard_Defense_Code!$A$3:$A$72</xm:f>
          </x14:formula1>
          <xm:sqref>D19:D28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417D80-EE5C-42BA-9AD1-66C404F0CC7B}">
  <sheetPr codeName="Sheet8">
    <pageSetUpPr fitToPage="1"/>
  </sheetPr>
  <dimension ref="A1:P20"/>
  <sheetViews>
    <sheetView zoomScale="90" zoomScaleNormal="90" workbookViewId="0">
      <selection activeCell="I8" sqref="I8:K8"/>
    </sheetView>
  </sheetViews>
  <sheetFormatPr defaultColWidth="0" defaultRowHeight="15" zeroHeight="1"/>
  <cols>
    <col min="1" max="1" width="3.5703125" style="1" customWidth="1"/>
    <col min="2" max="2" width="14.140625" style="1" customWidth="1"/>
    <col min="3" max="3" width="14.7109375" style="1" customWidth="1"/>
    <col min="4" max="4" width="15" style="1" customWidth="1"/>
    <col min="5" max="5" width="14.5703125" style="1" customWidth="1"/>
    <col min="6" max="6" width="14.42578125" style="1" customWidth="1"/>
    <col min="7" max="7" width="13.28515625" style="1" customWidth="1"/>
    <col min="8" max="8" width="3" style="1" customWidth="1"/>
    <col min="9" max="9" width="12.28515625" style="1" customWidth="1"/>
    <col min="10" max="10" width="22.85546875" style="1" customWidth="1"/>
    <col min="11" max="11" width="51.28515625" style="1" customWidth="1"/>
    <col min="12" max="12" width="56.28515625" style="1" customWidth="1"/>
    <col min="13" max="13" width="3.140625" style="1" customWidth="1"/>
    <col min="14" max="16" width="0" style="1" hidden="1" customWidth="1"/>
    <col min="17" max="16384" width="8" style="1" hidden="1"/>
  </cols>
  <sheetData>
    <row r="1" spans="1:13" ht="7.5" customHeight="1">
      <c r="A1" s="2"/>
      <c r="B1" s="2"/>
      <c r="C1" s="2"/>
      <c r="D1" s="2"/>
      <c r="E1" s="2"/>
      <c r="F1" s="2"/>
      <c r="G1" s="2"/>
      <c r="H1" s="2"/>
      <c r="I1" s="2"/>
      <c r="J1" s="2"/>
      <c r="K1" s="2"/>
      <c r="L1" s="2"/>
    </row>
    <row r="2" spans="1:13" ht="15" customHeight="1">
      <c r="A2" s="2"/>
      <c r="B2" s="2"/>
      <c r="C2" s="282" t="s">
        <v>103</v>
      </c>
      <c r="D2" s="283"/>
      <c r="E2" s="283"/>
      <c r="F2" s="283"/>
      <c r="G2" s="284"/>
      <c r="H2" s="2"/>
      <c r="I2" s="2"/>
      <c r="J2" s="2"/>
      <c r="K2" s="2"/>
      <c r="L2" s="2"/>
      <c r="M2" s="2"/>
    </row>
    <row r="3" spans="1:13" ht="21.75" customHeight="1">
      <c r="A3" s="2"/>
      <c r="B3" s="291" t="s">
        <v>104</v>
      </c>
      <c r="C3" s="275" t="s">
        <v>105</v>
      </c>
      <c r="D3" s="278" t="s">
        <v>106</v>
      </c>
      <c r="E3" s="279"/>
      <c r="F3" s="276" t="s">
        <v>107</v>
      </c>
      <c r="G3" s="275" t="s">
        <v>108</v>
      </c>
      <c r="H3" s="2"/>
      <c r="I3" s="287" t="s">
        <v>109</v>
      </c>
      <c r="J3" s="288"/>
      <c r="K3" s="285" t="s">
        <v>110</v>
      </c>
      <c r="L3" s="285" t="s">
        <v>111</v>
      </c>
      <c r="M3" s="2"/>
    </row>
    <row r="4" spans="1:13" ht="15.75" customHeight="1">
      <c r="A4" s="2"/>
      <c r="B4" s="292"/>
      <c r="C4" s="275"/>
      <c r="D4" s="280"/>
      <c r="E4" s="281"/>
      <c r="F4" s="277"/>
      <c r="G4" s="275"/>
      <c r="H4" s="2"/>
      <c r="I4" s="289"/>
      <c r="J4" s="290"/>
      <c r="K4" s="286"/>
      <c r="L4" s="286"/>
      <c r="M4" s="2"/>
    </row>
    <row r="5" spans="1:13" ht="52.5" customHeight="1">
      <c r="A5" s="2"/>
      <c r="B5" s="293"/>
      <c r="C5" s="9" t="s">
        <v>112</v>
      </c>
      <c r="D5" s="9" t="s">
        <v>113</v>
      </c>
      <c r="E5" s="9" t="s">
        <v>114</v>
      </c>
      <c r="F5" s="9" t="s">
        <v>115</v>
      </c>
      <c r="G5" s="9" t="s">
        <v>116</v>
      </c>
      <c r="H5" s="2"/>
      <c r="I5" s="17" t="s">
        <v>117</v>
      </c>
      <c r="J5" s="16" t="s">
        <v>118</v>
      </c>
      <c r="K5" s="46" t="s">
        <v>119</v>
      </c>
      <c r="L5" s="45" t="s">
        <v>120</v>
      </c>
      <c r="M5" s="2"/>
    </row>
    <row r="6" spans="1:13" ht="59.25" customHeight="1">
      <c r="A6" s="2"/>
      <c r="B6" s="9" t="s">
        <v>121</v>
      </c>
      <c r="C6" s="7">
        <v>5</v>
      </c>
      <c r="D6" s="11">
        <v>6</v>
      </c>
      <c r="E6" s="11">
        <v>7</v>
      </c>
      <c r="F6" s="11">
        <v>8</v>
      </c>
      <c r="G6" s="11">
        <v>9</v>
      </c>
      <c r="H6" s="2"/>
      <c r="I6" s="15" t="s">
        <v>122</v>
      </c>
      <c r="J6" s="14" t="s">
        <v>123</v>
      </c>
      <c r="K6" s="46" t="s">
        <v>124</v>
      </c>
      <c r="L6" s="45" t="s">
        <v>125</v>
      </c>
      <c r="M6" s="2"/>
    </row>
    <row r="7" spans="1:13" ht="59.25" customHeight="1">
      <c r="A7" s="2"/>
      <c r="B7" s="9" t="s">
        <v>126</v>
      </c>
      <c r="C7" s="7">
        <v>4</v>
      </c>
      <c r="D7" s="7">
        <v>5</v>
      </c>
      <c r="E7" s="11">
        <v>6</v>
      </c>
      <c r="F7" s="11">
        <v>7</v>
      </c>
      <c r="G7" s="11">
        <v>8</v>
      </c>
      <c r="H7" s="2"/>
      <c r="I7" s="13" t="s">
        <v>127</v>
      </c>
      <c r="J7" s="12" t="s">
        <v>128</v>
      </c>
      <c r="K7" s="46" t="s">
        <v>129</v>
      </c>
      <c r="L7" s="45" t="s">
        <v>130</v>
      </c>
      <c r="M7" s="2"/>
    </row>
    <row r="8" spans="1:13" ht="59.25" customHeight="1">
      <c r="A8" s="2"/>
      <c r="B8" s="9" t="s">
        <v>131</v>
      </c>
      <c r="C8" s="8">
        <v>3</v>
      </c>
      <c r="D8" s="7">
        <v>4</v>
      </c>
      <c r="E8" s="7">
        <v>5</v>
      </c>
      <c r="F8" s="11">
        <v>6</v>
      </c>
      <c r="G8" s="11">
        <v>7</v>
      </c>
      <c r="H8" s="2"/>
      <c r="I8" s="274" t="s">
        <v>132</v>
      </c>
      <c r="J8" s="274"/>
      <c r="K8" s="274"/>
      <c r="L8" s="2"/>
      <c r="M8" s="2"/>
    </row>
    <row r="9" spans="1:13" ht="59.25" customHeight="1">
      <c r="A9" s="2"/>
      <c r="B9" s="9" t="s">
        <v>133</v>
      </c>
      <c r="C9" s="8">
        <v>2</v>
      </c>
      <c r="D9" s="8">
        <v>3</v>
      </c>
      <c r="E9" s="7">
        <v>4</v>
      </c>
      <c r="F9" s="7">
        <v>5</v>
      </c>
      <c r="G9" s="11">
        <v>6</v>
      </c>
      <c r="H9" s="2"/>
      <c r="I9" s="273"/>
      <c r="J9" s="2"/>
      <c r="K9" s="2"/>
      <c r="L9" s="10"/>
      <c r="M9" s="2"/>
    </row>
    <row r="10" spans="1:13" ht="59.25" customHeight="1">
      <c r="A10" s="2"/>
      <c r="B10" s="9" t="s">
        <v>134</v>
      </c>
      <c r="C10" s="8">
        <v>1</v>
      </c>
      <c r="D10" s="8">
        <v>2</v>
      </c>
      <c r="E10" s="8">
        <v>3</v>
      </c>
      <c r="F10" s="7">
        <v>4</v>
      </c>
      <c r="G10" s="7">
        <v>5</v>
      </c>
      <c r="H10" s="2"/>
      <c r="I10" s="273"/>
      <c r="J10" s="6"/>
      <c r="K10" s="6"/>
      <c r="L10" s="6"/>
      <c r="M10" s="2"/>
    </row>
    <row r="11" spans="1:13" ht="12.75" customHeight="1">
      <c r="A11" s="2"/>
      <c r="B11" s="5"/>
      <c r="C11" s="5"/>
      <c r="D11" s="5"/>
      <c r="E11" s="5"/>
      <c r="F11" s="5"/>
      <c r="G11" s="5"/>
      <c r="H11" s="2"/>
      <c r="I11" s="4"/>
      <c r="J11" s="2"/>
      <c r="K11" s="2"/>
      <c r="L11" s="2"/>
      <c r="M11" s="2"/>
    </row>
    <row r="12" spans="1:13" ht="59.25" hidden="1" customHeight="1">
      <c r="A12" s="2"/>
      <c r="B12" s="3"/>
      <c r="C12" s="3"/>
      <c r="D12" s="3"/>
      <c r="E12" s="3"/>
      <c r="F12" s="3"/>
      <c r="G12" s="3"/>
    </row>
    <row r="13" spans="1:13" ht="57" hidden="1" customHeight="1">
      <c r="A13" s="2"/>
    </row>
    <row r="14" spans="1:13" ht="51" hidden="1" customHeight="1"/>
    <row r="15" spans="1:13" ht="51" hidden="1" customHeight="1"/>
    <row r="16" spans="1:13" ht="57.75" hidden="1" customHeight="1"/>
    <row r="17" spans="1:13" ht="51" hidden="1" customHeight="1"/>
    <row r="18" spans="1:13" ht="51" hidden="1" customHeight="1"/>
    <row r="19" spans="1:13" hidden="1">
      <c r="A19" s="2"/>
      <c r="B19" s="2"/>
      <c r="C19" s="2"/>
      <c r="D19" s="2"/>
      <c r="E19" s="2"/>
      <c r="F19" s="2"/>
      <c r="G19" s="2"/>
      <c r="H19" s="2"/>
      <c r="I19" s="2"/>
      <c r="J19" s="2"/>
      <c r="K19" s="2"/>
      <c r="L19" s="2"/>
      <c r="M19" s="2"/>
    </row>
    <row r="20" spans="1:13" hidden="1">
      <c r="A20" s="2"/>
      <c r="B20" s="2"/>
      <c r="C20" s="2"/>
      <c r="D20" s="2"/>
      <c r="E20" s="2"/>
      <c r="F20" s="2"/>
      <c r="G20" s="2"/>
      <c r="H20" s="2"/>
      <c r="I20" s="2"/>
      <c r="J20" s="2"/>
      <c r="K20" s="2"/>
      <c r="L20" s="2"/>
      <c r="M20" s="2"/>
    </row>
  </sheetData>
  <mergeCells count="11">
    <mergeCell ref="C2:G2"/>
    <mergeCell ref="L3:L4"/>
    <mergeCell ref="I3:J4"/>
    <mergeCell ref="K3:K4"/>
    <mergeCell ref="B3:B5"/>
    <mergeCell ref="I9:I10"/>
    <mergeCell ref="I8:K8"/>
    <mergeCell ref="C3:C4"/>
    <mergeCell ref="G3:G4"/>
    <mergeCell ref="F3:F4"/>
    <mergeCell ref="D3:E4"/>
  </mergeCells>
  <pageMargins left="0.14000000000000001" right="0.25" top="0.49" bottom="0.48" header="0.3" footer="0.3"/>
  <pageSetup paperSize="9" scale="57" fitToHeight="0" orientation="landscape" r:id="rId1"/>
  <headerFooter>
    <oddHeader>&amp;L&amp;"Gotham Rounded Book,Regular"FC-GL-EHS-MAN-0501-F3 (Issue 4) - Risk Matrix</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829E21-7301-4EA6-B9CB-B9123A863AA8}">
  <sheetPr codeName="Sheet9">
    <pageSetUpPr fitToPage="1"/>
  </sheetPr>
  <dimension ref="A1:I9"/>
  <sheetViews>
    <sheetView zoomScaleNormal="100" workbookViewId="0">
      <selection activeCell="D7" sqref="D7"/>
    </sheetView>
  </sheetViews>
  <sheetFormatPr defaultColWidth="0" defaultRowHeight="15" zeroHeight="1"/>
  <cols>
    <col min="1" max="1" width="1.42578125" style="1" customWidth="1"/>
    <col min="2" max="2" width="9.140625" style="1" customWidth="1"/>
    <col min="3" max="3" width="11.85546875" style="1" customWidth="1"/>
    <col min="4" max="4" width="42.42578125" style="1" bestFit="1" customWidth="1"/>
    <col min="5" max="5" width="47" style="1" bestFit="1" customWidth="1"/>
    <col min="6" max="6" width="61.42578125" style="1" customWidth="1"/>
    <col min="7" max="7" width="41.7109375" style="1" customWidth="1"/>
    <col min="8" max="8" width="43" style="1" bestFit="1" customWidth="1"/>
    <col min="9" max="9" width="1.42578125" style="2" customWidth="1"/>
    <col min="10" max="16384" width="8" style="1" hidden="1"/>
  </cols>
  <sheetData>
    <row r="1" spans="1:8" ht="6" customHeight="1">
      <c r="A1" s="2"/>
      <c r="B1" s="2"/>
    </row>
    <row r="2" spans="1:8" ht="43.5" customHeight="1">
      <c r="A2" s="2"/>
      <c r="B2" s="41" t="s">
        <v>135</v>
      </c>
      <c r="C2" s="40" t="s">
        <v>136</v>
      </c>
      <c r="D2" s="39" t="s">
        <v>137</v>
      </c>
      <c r="E2" s="39" t="s">
        <v>138</v>
      </c>
      <c r="F2" s="39" t="s">
        <v>139</v>
      </c>
      <c r="G2" s="39" t="s">
        <v>140</v>
      </c>
      <c r="H2" s="39" t="s">
        <v>141</v>
      </c>
    </row>
    <row r="3" spans="1:8" ht="108.75" customHeight="1">
      <c r="A3" s="2"/>
      <c r="B3" s="35" t="s">
        <v>142</v>
      </c>
      <c r="C3" s="34" t="s">
        <v>31</v>
      </c>
      <c r="D3" s="33" t="s">
        <v>143</v>
      </c>
      <c r="E3" s="38" t="s">
        <v>144</v>
      </c>
      <c r="F3" s="33" t="s">
        <v>145</v>
      </c>
      <c r="G3" s="33" t="s">
        <v>146</v>
      </c>
      <c r="H3" s="33" t="s">
        <v>147</v>
      </c>
    </row>
    <row r="4" spans="1:8" ht="119.25" customHeight="1">
      <c r="A4" s="2"/>
      <c r="B4" s="35" t="s">
        <v>107</v>
      </c>
      <c r="C4" s="34" t="s">
        <v>30</v>
      </c>
      <c r="D4" s="33" t="s">
        <v>148</v>
      </c>
      <c r="E4" s="33" t="s">
        <v>149</v>
      </c>
      <c r="F4" s="33" t="s">
        <v>150</v>
      </c>
      <c r="G4" s="33" t="s">
        <v>151</v>
      </c>
      <c r="H4" s="33" t="s">
        <v>152</v>
      </c>
    </row>
    <row r="5" spans="1:8" ht="119.25" customHeight="1">
      <c r="A5" s="2"/>
      <c r="B5" s="276" t="s">
        <v>153</v>
      </c>
      <c r="C5" s="36" t="s">
        <v>29</v>
      </c>
      <c r="D5" s="33" t="s">
        <v>154</v>
      </c>
      <c r="E5" s="33" t="s">
        <v>155</v>
      </c>
      <c r="F5" s="37" t="s">
        <v>156</v>
      </c>
      <c r="G5" s="33" t="s">
        <v>157</v>
      </c>
      <c r="H5" s="33" t="s">
        <v>158</v>
      </c>
    </row>
    <row r="6" spans="1:8" ht="107.25" customHeight="1">
      <c r="A6" s="2"/>
      <c r="B6" s="277"/>
      <c r="C6" s="36" t="s">
        <v>28</v>
      </c>
      <c r="D6" s="33" t="s">
        <v>159</v>
      </c>
      <c r="E6" s="33" t="s">
        <v>160</v>
      </c>
      <c r="F6" s="33" t="s">
        <v>161</v>
      </c>
      <c r="G6" s="33" t="s">
        <v>162</v>
      </c>
      <c r="H6" s="33" t="s">
        <v>163</v>
      </c>
    </row>
    <row r="7" spans="1:8" ht="108" customHeight="1">
      <c r="A7" s="2"/>
      <c r="B7" s="35" t="s">
        <v>164</v>
      </c>
      <c r="C7" s="34" t="s">
        <v>27</v>
      </c>
      <c r="D7" s="33" t="s">
        <v>165</v>
      </c>
      <c r="E7" s="33" t="s">
        <v>166</v>
      </c>
      <c r="F7" s="33" t="s">
        <v>167</v>
      </c>
      <c r="G7" s="33" t="s">
        <v>168</v>
      </c>
      <c r="H7" s="33" t="s">
        <v>169</v>
      </c>
    </row>
    <row r="8" spans="1:8" ht="9.75" customHeight="1">
      <c r="A8" s="2"/>
      <c r="B8" s="2"/>
      <c r="C8" s="2"/>
      <c r="D8" s="2"/>
      <c r="E8" s="2"/>
      <c r="F8" s="2"/>
      <c r="G8" s="2"/>
      <c r="H8" s="2"/>
    </row>
    <row r="9" spans="1:8" hidden="1">
      <c r="C9" s="2"/>
      <c r="D9" s="2"/>
      <c r="E9" s="2"/>
      <c r="F9" s="2"/>
      <c r="G9" s="2"/>
      <c r="H9" s="2"/>
    </row>
  </sheetData>
  <mergeCells count="1">
    <mergeCell ref="B5:B6"/>
  </mergeCells>
  <pageMargins left="0.25" right="0.25" top="0.47812500000000002" bottom="0.75" header="0.3" footer="0.3"/>
  <pageSetup paperSize="9" scale="54" fitToHeight="0" orientation="landscape" r:id="rId1"/>
  <headerFooter>
    <oddHeader>&amp;L&amp;"Gotham Rounded Book,Regular"FC-GL-EHS-MAN-0501-F3 (Issue 4) - Severity Guidance</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C04EB-43D4-458C-8A21-29106B2B0FA6}">
  <sheetPr codeName="Sheet1"/>
  <dimension ref="A1:F35"/>
  <sheetViews>
    <sheetView zoomScale="120" zoomScaleNormal="120" workbookViewId="0">
      <selection activeCell="C12" sqref="C12:D12"/>
    </sheetView>
  </sheetViews>
  <sheetFormatPr defaultColWidth="0" defaultRowHeight="15"/>
  <cols>
    <col min="1" max="1" width="21.5703125" style="18" customWidth="1"/>
    <col min="2" max="2" width="26.85546875" style="18" customWidth="1"/>
    <col min="3" max="3" width="24.85546875" style="18" customWidth="1"/>
    <col min="4" max="4" width="28.5703125" style="18" customWidth="1"/>
    <col min="5" max="5" width="27" style="18" customWidth="1"/>
    <col min="6" max="6" width="5.5703125" style="19" customWidth="1"/>
    <col min="7" max="16384" width="8" style="18" hidden="1"/>
  </cols>
  <sheetData>
    <row r="1" spans="1:5" ht="15.75" thickBot="1">
      <c r="A1" s="51" t="s">
        <v>170</v>
      </c>
    </row>
    <row r="2" spans="1:5" ht="15.75" thickBot="1">
      <c r="A2" s="29"/>
      <c r="B2" s="32" t="s">
        <v>171</v>
      </c>
      <c r="C2" s="31" t="s">
        <v>21</v>
      </c>
      <c r="D2" s="30" t="s">
        <v>22</v>
      </c>
      <c r="E2" s="31" t="s">
        <v>172</v>
      </c>
    </row>
    <row r="3" spans="1:5" ht="15.75" thickBot="1">
      <c r="A3" s="29" t="s">
        <v>173</v>
      </c>
      <c r="B3" s="28" t="s">
        <v>174</v>
      </c>
      <c r="C3" s="24">
        <f>VLOOKUP(B3,Hazard_Defense_Code!A1:C76,2,0)</f>
        <v>3</v>
      </c>
      <c r="D3" s="24">
        <f>VLOOKUP(B3,Hazard_Defense_Code!A1:C76,3,0)</f>
        <v>4</v>
      </c>
      <c r="E3" s="24">
        <f t="shared" ref="E3:E9" si="0">C3+D3-1</f>
        <v>6</v>
      </c>
    </row>
    <row r="4" spans="1:5" ht="15.75" thickBot="1">
      <c r="A4" s="47" t="s">
        <v>175</v>
      </c>
      <c r="B4" s="28" t="s">
        <v>176</v>
      </c>
      <c r="C4" s="24">
        <f>VLOOKUP(B4,Hazard_Defense_Code!A1:C76,2,0)</f>
        <v>2</v>
      </c>
      <c r="D4" s="24">
        <f>VLOOKUP(B4,Hazard_Defense_Code!A1:C76,3,0)</f>
        <v>4</v>
      </c>
      <c r="E4" s="24">
        <f t="shared" si="0"/>
        <v>5</v>
      </c>
    </row>
    <row r="5" spans="1:5" ht="15.75" thickBot="1">
      <c r="A5" s="47" t="s">
        <v>177</v>
      </c>
      <c r="B5" s="28" t="s">
        <v>178</v>
      </c>
      <c r="C5" s="24">
        <f>VLOOKUP(B5,Hazard_Defense_Code!A1:C76,2,0)</f>
        <v>2</v>
      </c>
      <c r="D5" s="24">
        <f>VLOOKUP(B5,Hazard_Defense_Code!A1:C76,3,0)</f>
        <v>4</v>
      </c>
      <c r="E5" s="24">
        <f t="shared" si="0"/>
        <v>5</v>
      </c>
    </row>
    <row r="6" spans="1:5" ht="15.75" thickBot="1">
      <c r="A6" s="48" t="s">
        <v>179</v>
      </c>
      <c r="B6" s="28" t="s">
        <v>180</v>
      </c>
      <c r="C6" s="24">
        <f>VLOOKUP(B6,Hazard_Defense_Code!A1:C76,2,0)</f>
        <v>1</v>
      </c>
      <c r="D6" s="24">
        <f>VLOOKUP(B6,Hazard_Defense_Code!A1:C76,3,0)</f>
        <v>5</v>
      </c>
      <c r="E6" s="24">
        <f t="shared" si="0"/>
        <v>5</v>
      </c>
    </row>
    <row r="7" spans="1:5" ht="14.25" hidden="1" customHeight="1" thickBot="1">
      <c r="A7" s="27"/>
      <c r="B7" s="28" t="s">
        <v>181</v>
      </c>
      <c r="C7" s="26">
        <f>MAX(C3:C6)</f>
        <v>3</v>
      </c>
      <c r="D7" s="26">
        <f>MAX(D3:D6)</f>
        <v>5</v>
      </c>
      <c r="E7" s="24">
        <f t="shared" si="0"/>
        <v>7</v>
      </c>
    </row>
    <row r="8" spans="1:5" ht="30.75" hidden="1" customHeight="1" thickBot="1">
      <c r="B8" s="28" t="s">
        <v>181</v>
      </c>
      <c r="C8" s="25">
        <f>MEDIAN(C3:C6)</f>
        <v>2</v>
      </c>
      <c r="D8" s="25">
        <f>MEDIAN(D3:D6)</f>
        <v>4</v>
      </c>
      <c r="E8" s="24">
        <f t="shared" si="0"/>
        <v>5</v>
      </c>
    </row>
    <row r="9" spans="1:5" ht="15.75" thickBot="1">
      <c r="A9" s="294" t="s">
        <v>182</v>
      </c>
      <c r="B9" s="295"/>
      <c r="C9" s="23">
        <f>AVERAGE(C7:C8)</f>
        <v>2.5</v>
      </c>
      <c r="D9" s="22">
        <f>AVERAGE(D7:D8)</f>
        <v>4.5</v>
      </c>
      <c r="E9" s="23">
        <f t="shared" si="0"/>
        <v>6</v>
      </c>
    </row>
    <row r="10" spans="1:5" s="19" customFormat="1" ht="15.75" thickBot="1"/>
    <row r="11" spans="1:5" s="19" customFormat="1" ht="15.75" thickBot="1">
      <c r="A11" s="51" t="s">
        <v>183</v>
      </c>
    </row>
    <row r="12" spans="1:5" ht="34.5" customHeight="1" thickBot="1">
      <c r="A12" s="49" t="s">
        <v>173</v>
      </c>
      <c r="B12" s="21" t="s">
        <v>174</v>
      </c>
      <c r="C12" s="296" t="str">
        <f>VLOOKUP(B12,Hazard_Defense_Code!A1:E77,5,FALSE)</f>
        <v>Lift Plans &amp; POWLA (P&amp;S Plan Tab V) should be in place and communicated before commencing lifting operations</v>
      </c>
      <c r="D12" s="297"/>
      <c r="E12" s="19"/>
    </row>
    <row r="13" spans="1:5" ht="34.5" customHeight="1" thickBot="1">
      <c r="A13" s="49" t="s">
        <v>175</v>
      </c>
      <c r="B13" s="21" t="s">
        <v>178</v>
      </c>
      <c r="C13" s="296" t="str">
        <f>VLOOKUP(B13,Hazard_Defense_Code!A1:E76,5,FALSE)</f>
        <v>POWRA (P&amp;S Plan Tab S) should be used to mitigate risk from pinch point and line of fire hazards.  Peering checking, tool holders and careful hand/body part placement should be deployed continuously where risk exists.</v>
      </c>
      <c r="D13" s="297"/>
      <c r="E13" s="19"/>
    </row>
    <row r="14" spans="1:5" ht="34.5" customHeight="1" thickBot="1">
      <c r="A14" s="49" t="s">
        <v>177</v>
      </c>
      <c r="B14" s="21" t="s">
        <v>184</v>
      </c>
      <c r="C14" s="296" t="str">
        <f>VLOOKUP(B14,Hazard_Defense_Code!A1:E76,5,FALSE)</f>
        <v>Where a secure certified (e.g. Scaff tag) elevated work platform cannot be put in place then a safety harness with 100% tie-off to a secure structure must be used.</v>
      </c>
      <c r="D14" s="297"/>
      <c r="E14" s="19"/>
    </row>
    <row r="15" spans="1:5" ht="34.5" customHeight="1" thickBot="1">
      <c r="A15" s="50" t="s">
        <v>179</v>
      </c>
      <c r="B15" s="49" t="s">
        <v>184</v>
      </c>
      <c r="C15" s="296" t="str">
        <f>VLOOKUP(B15,Hazard_Defense_Code!A1:E76,5,FALSE)</f>
        <v>Where a secure certified (e.g. Scaff tag) elevated work platform cannot be put in place then a safety harness with 100% tie-off to a secure structure must be used.</v>
      </c>
      <c r="D15" s="297"/>
      <c r="E15" s="19"/>
    </row>
    <row r="16" spans="1:5">
      <c r="A16" s="19"/>
      <c r="B16" s="19"/>
      <c r="C16" s="19"/>
      <c r="D16" s="19"/>
      <c r="E16" s="19"/>
    </row>
    <row r="17" spans="1:5">
      <c r="A17" s="19"/>
      <c r="B17" s="19"/>
      <c r="C17" s="19"/>
      <c r="D17" s="19"/>
      <c r="E17" s="19"/>
    </row>
    <row r="18" spans="1:5">
      <c r="A18" s="19"/>
      <c r="B18" s="19"/>
      <c r="C18" s="52"/>
      <c r="D18" s="52"/>
      <c r="E18" s="20"/>
    </row>
    <row r="19" spans="1:5">
      <c r="A19" s="19"/>
      <c r="B19" s="19"/>
      <c r="C19" s="19"/>
      <c r="D19" s="19"/>
      <c r="E19" s="19"/>
    </row>
    <row r="20" spans="1:5">
      <c r="A20" s="19"/>
      <c r="B20" s="19"/>
      <c r="C20" s="19"/>
      <c r="D20" s="19"/>
      <c r="E20" s="19"/>
    </row>
    <row r="21" spans="1:5">
      <c r="A21" s="19"/>
      <c r="B21" s="19"/>
      <c r="C21" s="19"/>
      <c r="D21" s="19"/>
    </row>
    <row r="22" spans="1:5">
      <c r="A22" s="19"/>
      <c r="B22" s="19"/>
      <c r="C22" s="19"/>
      <c r="D22" s="19"/>
      <c r="E22" s="19"/>
    </row>
    <row r="23" spans="1:5">
      <c r="A23" s="19"/>
      <c r="B23" s="19"/>
      <c r="C23" s="19"/>
      <c r="D23" s="19"/>
      <c r="E23" s="19"/>
    </row>
    <row r="24" spans="1:5">
      <c r="A24" s="19"/>
      <c r="B24" s="19"/>
      <c r="C24" s="19"/>
      <c r="D24" s="19"/>
      <c r="E24" s="19"/>
    </row>
    <row r="25" spans="1:5">
      <c r="A25" s="19"/>
      <c r="B25" s="19"/>
      <c r="C25" s="19"/>
      <c r="D25" s="19"/>
      <c r="E25" s="19"/>
    </row>
    <row r="26" spans="1:5">
      <c r="A26" s="19"/>
      <c r="B26" s="19"/>
      <c r="C26" s="19"/>
      <c r="D26" s="19"/>
      <c r="E26" s="19"/>
    </row>
    <row r="27" spans="1:5">
      <c r="A27" s="19"/>
      <c r="B27" s="19"/>
      <c r="C27" s="19"/>
      <c r="D27" s="19"/>
      <c r="E27" s="19"/>
    </row>
    <row r="28" spans="1:5">
      <c r="A28" s="19"/>
      <c r="B28" s="19"/>
      <c r="C28" s="19"/>
      <c r="D28" s="19"/>
      <c r="E28" s="19"/>
    </row>
    <row r="29" spans="1:5">
      <c r="A29" s="19"/>
      <c r="B29" s="19"/>
      <c r="C29" s="19"/>
      <c r="D29" s="19"/>
      <c r="E29" s="19"/>
    </row>
    <row r="30" spans="1:5">
      <c r="A30" s="19"/>
      <c r="B30" s="19"/>
      <c r="C30" s="19"/>
      <c r="D30" s="19"/>
      <c r="E30" s="19"/>
    </row>
    <row r="31" spans="1:5">
      <c r="A31" s="19"/>
      <c r="B31" s="19"/>
      <c r="C31" s="19"/>
      <c r="D31" s="19"/>
      <c r="E31" s="19"/>
    </row>
    <row r="32" spans="1:5">
      <c r="A32" s="19"/>
      <c r="B32" s="19"/>
      <c r="C32" s="19"/>
      <c r="D32" s="19"/>
      <c r="E32" s="19"/>
    </row>
    <row r="33" spans="1:5">
      <c r="A33" s="19"/>
      <c r="B33" s="19"/>
      <c r="C33" s="19"/>
      <c r="D33" s="19"/>
      <c r="E33" s="19"/>
    </row>
    <row r="34" spans="1:5">
      <c r="A34" s="19"/>
      <c r="B34" s="19"/>
      <c r="C34" s="19"/>
      <c r="D34" s="19"/>
      <c r="E34" s="19"/>
    </row>
    <row r="35" spans="1:5">
      <c r="A35" s="19"/>
      <c r="B35" s="19"/>
      <c r="C35" s="19"/>
      <c r="D35" s="19"/>
      <c r="E35" s="19"/>
    </row>
  </sheetData>
  <mergeCells count="5">
    <mergeCell ref="A9:B9"/>
    <mergeCell ref="C12:D12"/>
    <mergeCell ref="C13:D13"/>
    <mergeCell ref="C14:D14"/>
    <mergeCell ref="C15:D15"/>
  </mergeCells>
  <conditionalFormatting sqref="E3:E9">
    <cfRule type="cellIs" dxfId="11" priority="1" stopIfTrue="1" operator="between">
      <formula>3.1</formula>
      <formula>5.9</formula>
    </cfRule>
    <cfRule type="cellIs" dxfId="10" priority="2" operator="greaterThan">
      <formula>5</formula>
    </cfRule>
    <cfRule type="cellIs" dxfId="9" priority="3" operator="between">
      <formula>1</formula>
      <formula>3</formula>
    </cfRule>
  </conditionalFormatting>
  <dataValidations count="1">
    <dataValidation type="list" allowBlank="1" showInputMessage="1" showErrorMessage="1" sqref="B10:B11" xr:uid="{3ED049BC-9F64-475A-B175-6D9478AFCD77}">
      <formula1>$A$4:$A$49</formula1>
    </dataValidation>
  </dataValidations>
  <pageMargins left="0.7" right="0.7" top="0.75" bottom="0.75" header="0.3" footer="0.3"/>
  <pageSetup paperSize="9" orientation="portrait" r:id="rId1"/>
  <headerFooter>
    <oddHeader>&amp;L&amp;"Gotham Rounded Book,Regular"FC-GL-EHS-MAN-0501-F3 (Issue 4) - Risk Calculator</oddHeader>
  </headerFooter>
  <extLst>
    <ext xmlns:x14="http://schemas.microsoft.com/office/spreadsheetml/2009/9/main" uri="{CCE6A557-97BC-4b89-ADB6-D9C93CAAB3DF}">
      <x14:dataValidations xmlns:xm="http://schemas.microsoft.com/office/excel/2006/main" count="1">
        <x14:dataValidation type="list" allowBlank="1" showInputMessage="1" showErrorMessage="1" xr:uid="{AF348DF7-9EAC-4620-89AD-6C62658A460A}">
          <x14:formula1>
            <xm:f>Hazard_Defense_Code!$A$2:$A$72</xm:f>
          </x14:formula1>
          <xm:sqref>B12:B15 B3:B8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362F4-ADE8-4DFF-9F7C-FE7168AA5F2D}">
  <sheetPr codeName="Sheet3"/>
  <dimension ref="A1:M13"/>
  <sheetViews>
    <sheetView workbookViewId="0">
      <selection activeCell="F12" sqref="F12"/>
    </sheetView>
  </sheetViews>
  <sheetFormatPr defaultColWidth="0" defaultRowHeight="12.75" zeroHeight="1"/>
  <cols>
    <col min="1" max="13" width="8" style="42" customWidth="1"/>
    <col min="14" max="16384" width="8" style="42" hidden="1"/>
  </cols>
  <sheetData>
    <row r="1" spans="1:13">
      <c r="A1" s="43"/>
      <c r="B1" s="43"/>
      <c r="C1" s="43"/>
      <c r="D1" s="43"/>
      <c r="E1" s="43"/>
      <c r="F1" s="43"/>
      <c r="G1" s="43"/>
      <c r="H1" s="43"/>
      <c r="I1" s="43"/>
      <c r="J1" s="43"/>
      <c r="K1" s="43"/>
      <c r="L1" s="43"/>
      <c r="M1" s="43"/>
    </row>
    <row r="2" spans="1:13" ht="21" customHeight="1">
      <c r="A2" s="43"/>
      <c r="B2" s="44" t="s">
        <v>185</v>
      </c>
      <c r="C2" s="43"/>
      <c r="D2" s="43"/>
      <c r="E2" s="43"/>
      <c r="F2" s="43"/>
      <c r="G2" s="43"/>
      <c r="H2" s="43"/>
      <c r="I2" s="43"/>
      <c r="J2" s="43"/>
      <c r="K2" s="43"/>
      <c r="L2" s="43"/>
      <c r="M2" s="43"/>
    </row>
    <row r="3" spans="1:13" ht="12.75" customHeight="1">
      <c r="A3" s="43"/>
      <c r="B3" s="298" t="s">
        <v>186</v>
      </c>
      <c r="C3" s="298"/>
      <c r="D3" s="298"/>
      <c r="E3" s="298"/>
      <c r="F3" s="298"/>
      <c r="G3" s="298"/>
      <c r="H3" s="298"/>
      <c r="I3" s="298"/>
      <c r="J3" s="298"/>
      <c r="K3" s="298"/>
      <c r="L3" s="43"/>
      <c r="M3" s="43"/>
    </row>
    <row r="4" spans="1:13">
      <c r="A4" s="43"/>
      <c r="B4" s="298"/>
      <c r="C4" s="298"/>
      <c r="D4" s="298"/>
      <c r="E4" s="298"/>
      <c r="F4" s="298"/>
      <c r="G4" s="298"/>
      <c r="H4" s="298"/>
      <c r="I4" s="298"/>
      <c r="J4" s="298"/>
      <c r="K4" s="298"/>
      <c r="L4" s="43"/>
      <c r="M4" s="43"/>
    </row>
    <row r="5" spans="1:13">
      <c r="A5" s="43"/>
      <c r="B5" s="298"/>
      <c r="C5" s="298"/>
      <c r="D5" s="298"/>
      <c r="E5" s="298"/>
      <c r="F5" s="298"/>
      <c r="G5" s="298"/>
      <c r="H5" s="298"/>
      <c r="I5" s="298"/>
      <c r="J5" s="298"/>
      <c r="K5" s="298"/>
      <c r="L5" s="43"/>
      <c r="M5" s="43"/>
    </row>
    <row r="6" spans="1:13">
      <c r="A6" s="43"/>
      <c r="B6" s="298"/>
      <c r="C6" s="298"/>
      <c r="D6" s="298"/>
      <c r="E6" s="298"/>
      <c r="F6" s="298"/>
      <c r="G6" s="298"/>
      <c r="H6" s="298"/>
      <c r="I6" s="298"/>
      <c r="J6" s="298"/>
      <c r="K6" s="298"/>
      <c r="L6" s="43"/>
      <c r="M6" s="43"/>
    </row>
    <row r="7" spans="1:13">
      <c r="A7" s="43"/>
      <c r="B7" s="298"/>
      <c r="C7" s="298"/>
      <c r="D7" s="298"/>
      <c r="E7" s="298"/>
      <c r="F7" s="298"/>
      <c r="G7" s="298"/>
      <c r="H7" s="298"/>
      <c r="I7" s="298"/>
      <c r="J7" s="298"/>
      <c r="K7" s="298"/>
      <c r="L7" s="43"/>
      <c r="M7" s="43"/>
    </row>
    <row r="8" spans="1:13">
      <c r="A8" s="43"/>
      <c r="B8" s="298"/>
      <c r="C8" s="298"/>
      <c r="D8" s="298"/>
      <c r="E8" s="298"/>
      <c r="F8" s="298"/>
      <c r="G8" s="298"/>
      <c r="H8" s="298"/>
      <c r="I8" s="298"/>
      <c r="J8" s="298"/>
      <c r="K8" s="298"/>
      <c r="L8" s="43"/>
      <c r="M8" s="43"/>
    </row>
    <row r="9" spans="1:13">
      <c r="A9" s="43"/>
      <c r="B9" s="298"/>
      <c r="C9" s="298"/>
      <c r="D9" s="298"/>
      <c r="E9" s="298"/>
      <c r="F9" s="298"/>
      <c r="G9" s="298"/>
      <c r="H9" s="298"/>
      <c r="I9" s="298"/>
      <c r="J9" s="298"/>
      <c r="K9" s="298"/>
      <c r="L9" s="43"/>
      <c r="M9" s="43"/>
    </row>
    <row r="10" spans="1:13" ht="33" customHeight="1">
      <c r="A10" s="43"/>
      <c r="B10" s="298"/>
      <c r="C10" s="298"/>
      <c r="D10" s="298"/>
      <c r="E10" s="298"/>
      <c r="F10" s="298"/>
      <c r="G10" s="298"/>
      <c r="H10" s="298"/>
      <c r="I10" s="298"/>
      <c r="J10" s="298"/>
      <c r="K10" s="298"/>
      <c r="L10" s="43"/>
      <c r="M10" s="43"/>
    </row>
    <row r="11" spans="1:13">
      <c r="A11" s="43"/>
      <c r="B11" s="43"/>
      <c r="C11" s="43"/>
      <c r="D11" s="43"/>
      <c r="E11" s="43"/>
      <c r="F11" s="43"/>
      <c r="G11" s="43"/>
      <c r="H11" s="43"/>
      <c r="I11" s="43"/>
      <c r="J11" s="43"/>
      <c r="K11" s="43"/>
      <c r="L11" s="43"/>
      <c r="M11" s="43"/>
    </row>
    <row r="12" spans="1:13">
      <c r="A12" s="43"/>
      <c r="B12" s="43"/>
      <c r="C12" s="43"/>
      <c r="D12" s="43"/>
      <c r="E12" s="43"/>
      <c r="F12" s="43"/>
      <c r="G12" s="43"/>
      <c r="H12" s="43"/>
      <c r="I12" s="43"/>
      <c r="J12" s="43"/>
      <c r="K12" s="43"/>
      <c r="L12" s="43"/>
      <c r="M12" s="43"/>
    </row>
    <row r="13" spans="1:13">
      <c r="A13" s="43"/>
      <c r="B13" s="43"/>
      <c r="C13" s="43"/>
      <c r="D13" s="43"/>
      <c r="E13" s="43"/>
      <c r="F13" s="43"/>
      <c r="G13" s="43"/>
      <c r="H13" s="43"/>
      <c r="I13" s="43"/>
      <c r="J13" s="43"/>
      <c r="K13" s="43"/>
      <c r="L13" s="43"/>
      <c r="M13" s="43"/>
    </row>
  </sheetData>
  <mergeCells count="1">
    <mergeCell ref="B3:K10"/>
  </mergeCells>
  <pageMargins left="0.7" right="0.7" top="0.75" bottom="0.75" header="0.3" footer="0.3"/>
  <pageSetup paperSize="9" orientation="portrait" horizontalDpi="4294967292"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2A7C73-2635-4C48-8EA9-B5AE2A69E998}">
  <sheetPr codeName="Sheet21"/>
  <dimension ref="A1:Q191"/>
  <sheetViews>
    <sheetView topLeftCell="A73" workbookViewId="0">
      <selection activeCell="A100" sqref="A100"/>
    </sheetView>
  </sheetViews>
  <sheetFormatPr defaultColWidth="9.140625" defaultRowHeight="15"/>
  <cols>
    <col min="1" max="1" width="52" style="103" customWidth="1"/>
    <col min="2" max="4" width="24.28515625" style="103" customWidth="1"/>
    <col min="5" max="5" width="81.85546875" style="105" customWidth="1"/>
    <col min="6" max="9" width="9.140625" style="103"/>
    <col min="10" max="10" width="29.140625" style="103" customWidth="1"/>
    <col min="11" max="11" width="39.42578125" style="103" customWidth="1"/>
    <col min="12" max="14" width="53.28515625" style="103" customWidth="1"/>
    <col min="15" max="15" width="38.7109375" style="103" customWidth="1"/>
    <col min="16" max="16" width="42.85546875" style="103" customWidth="1"/>
    <col min="17" max="17" width="34.5703125" style="103" customWidth="1"/>
    <col min="18" max="16384" width="9.140625" style="103"/>
  </cols>
  <sheetData>
    <row r="1" spans="1:17">
      <c r="A1" s="96" t="s">
        <v>187</v>
      </c>
      <c r="B1" s="101" t="s">
        <v>21</v>
      </c>
      <c r="C1" s="101" t="s">
        <v>22</v>
      </c>
      <c r="D1" s="101" t="s">
        <v>188</v>
      </c>
      <c r="E1" s="102" t="s">
        <v>189</v>
      </c>
      <c r="F1" s="97">
        <v>5</v>
      </c>
      <c r="J1" s="104"/>
      <c r="K1" s="104"/>
      <c r="L1" s="104"/>
      <c r="M1" s="104"/>
      <c r="N1" s="104" t="s">
        <v>190</v>
      </c>
      <c r="O1" s="104" t="s">
        <v>191</v>
      </c>
      <c r="P1" s="104" t="s">
        <v>192</v>
      </c>
      <c r="Q1" s="104" t="s">
        <v>193</v>
      </c>
    </row>
    <row r="2" spans="1:17">
      <c r="A2" s="101" t="s">
        <v>181</v>
      </c>
      <c r="B2" s="101">
        <v>1</v>
      </c>
      <c r="C2" s="101">
        <v>0</v>
      </c>
      <c r="D2" s="101">
        <f t="shared" ref="D2:D58" si="0">B2+C2-1</f>
        <v>0</v>
      </c>
      <c r="E2" s="102"/>
      <c r="F2" s="97">
        <v>4</v>
      </c>
    </row>
    <row r="3" spans="1:17">
      <c r="A3" s="101" t="s">
        <v>194</v>
      </c>
      <c r="B3" s="101">
        <v>2</v>
      </c>
      <c r="C3" s="101">
        <v>3</v>
      </c>
      <c r="D3" s="101">
        <f t="shared" si="0"/>
        <v>4</v>
      </c>
      <c r="E3" s="102" t="s">
        <v>195</v>
      </c>
      <c r="F3" s="97">
        <v>3</v>
      </c>
    </row>
    <row r="4" spans="1:17">
      <c r="A4" s="101" t="s">
        <v>196</v>
      </c>
      <c r="B4" s="101">
        <v>2</v>
      </c>
      <c r="C4" s="101">
        <v>2</v>
      </c>
      <c r="D4" s="101">
        <f t="shared" si="0"/>
        <v>3</v>
      </c>
      <c r="E4" s="102" t="s">
        <v>197</v>
      </c>
      <c r="F4" s="97">
        <v>2</v>
      </c>
    </row>
    <row r="5" spans="1:17" ht="30">
      <c r="A5" s="107" t="s">
        <v>198</v>
      </c>
      <c r="B5" s="101">
        <v>4</v>
      </c>
      <c r="C5" s="101">
        <v>1</v>
      </c>
      <c r="D5" s="101">
        <f t="shared" si="0"/>
        <v>4</v>
      </c>
      <c r="E5" s="102" t="s">
        <v>199</v>
      </c>
      <c r="F5" s="97">
        <v>1</v>
      </c>
    </row>
    <row r="6" spans="1:17">
      <c r="A6" s="101" t="s">
        <v>200</v>
      </c>
      <c r="B6" s="101">
        <v>4</v>
      </c>
      <c r="C6" s="101">
        <v>1</v>
      </c>
      <c r="D6" s="101">
        <f t="shared" si="0"/>
        <v>4</v>
      </c>
      <c r="E6" s="102" t="s">
        <v>201</v>
      </c>
      <c r="F6" s="98"/>
    </row>
    <row r="7" spans="1:17" ht="45">
      <c r="A7" s="101" t="s">
        <v>202</v>
      </c>
      <c r="B7" s="101">
        <v>3</v>
      </c>
      <c r="C7" s="101">
        <v>3</v>
      </c>
      <c r="D7" s="101">
        <f t="shared" si="0"/>
        <v>5</v>
      </c>
      <c r="E7" s="102" t="s">
        <v>203</v>
      </c>
      <c r="F7" s="98"/>
    </row>
    <row r="8" spans="1:17" ht="45">
      <c r="A8" s="101" t="s">
        <v>204</v>
      </c>
      <c r="B8" s="101">
        <v>4</v>
      </c>
      <c r="C8" s="101">
        <v>3</v>
      </c>
      <c r="D8" s="101">
        <f t="shared" si="0"/>
        <v>6</v>
      </c>
      <c r="E8" s="102" t="s">
        <v>205</v>
      </c>
      <c r="F8" s="98"/>
    </row>
    <row r="9" spans="1:17">
      <c r="A9" s="101" t="s">
        <v>206</v>
      </c>
      <c r="B9" s="101">
        <v>4</v>
      </c>
      <c r="C9" s="101">
        <v>4</v>
      </c>
      <c r="D9" s="101">
        <f t="shared" si="0"/>
        <v>7</v>
      </c>
      <c r="E9" s="102"/>
      <c r="F9" s="98"/>
    </row>
    <row r="10" spans="1:17" ht="45">
      <c r="A10" s="101" t="s">
        <v>207</v>
      </c>
      <c r="B10" s="101">
        <v>1</v>
      </c>
      <c r="C10" s="101">
        <v>5</v>
      </c>
      <c r="D10" s="101">
        <f t="shared" si="0"/>
        <v>5</v>
      </c>
      <c r="E10" s="102" t="s">
        <v>208</v>
      </c>
      <c r="F10" s="98"/>
    </row>
    <row r="11" spans="1:17" ht="30">
      <c r="A11" s="101" t="s">
        <v>209</v>
      </c>
      <c r="B11" s="101">
        <v>2</v>
      </c>
      <c r="C11" s="101">
        <v>4</v>
      </c>
      <c r="D11" s="101">
        <f t="shared" si="0"/>
        <v>5</v>
      </c>
      <c r="E11" s="102" t="s">
        <v>210</v>
      </c>
      <c r="F11" s="98"/>
    </row>
    <row r="12" spans="1:17" ht="30">
      <c r="A12" s="101" t="s">
        <v>211</v>
      </c>
      <c r="B12" s="101">
        <v>4</v>
      </c>
      <c r="C12" s="101">
        <v>3</v>
      </c>
      <c r="D12" s="101">
        <f t="shared" si="0"/>
        <v>6</v>
      </c>
      <c r="E12" s="102" t="s">
        <v>212</v>
      </c>
      <c r="F12" s="98"/>
    </row>
    <row r="13" spans="1:17">
      <c r="A13" s="101" t="s">
        <v>213</v>
      </c>
      <c r="B13" s="101">
        <v>2</v>
      </c>
      <c r="C13" s="101">
        <v>1</v>
      </c>
      <c r="D13" s="101">
        <f t="shared" si="0"/>
        <v>2</v>
      </c>
      <c r="E13" s="102" t="s">
        <v>214</v>
      </c>
      <c r="F13" s="98"/>
    </row>
    <row r="14" spans="1:17" ht="30">
      <c r="A14" s="101" t="s">
        <v>215</v>
      </c>
      <c r="B14" s="101">
        <v>3</v>
      </c>
      <c r="C14" s="101">
        <v>3</v>
      </c>
      <c r="D14" s="101">
        <f t="shared" si="0"/>
        <v>5</v>
      </c>
      <c r="E14" s="102" t="s">
        <v>216</v>
      </c>
      <c r="F14" s="98"/>
    </row>
    <row r="15" spans="1:17" ht="30">
      <c r="A15" s="101" t="s">
        <v>217</v>
      </c>
      <c r="B15" s="101">
        <v>2</v>
      </c>
      <c r="C15" s="101">
        <v>4</v>
      </c>
      <c r="D15" s="101">
        <f t="shared" si="0"/>
        <v>5</v>
      </c>
      <c r="E15" s="102" t="s">
        <v>218</v>
      </c>
      <c r="F15" s="98"/>
    </row>
    <row r="16" spans="1:17" ht="30">
      <c r="A16" s="101" t="s">
        <v>219</v>
      </c>
      <c r="B16" s="101">
        <v>5</v>
      </c>
      <c r="C16" s="101">
        <v>1</v>
      </c>
      <c r="D16" s="101">
        <f t="shared" si="0"/>
        <v>5</v>
      </c>
      <c r="E16" s="102" t="s">
        <v>220</v>
      </c>
      <c r="F16" s="98"/>
    </row>
    <row r="17" spans="1:6">
      <c r="A17" s="101" t="s">
        <v>221</v>
      </c>
      <c r="B17" s="101">
        <v>3</v>
      </c>
      <c r="C17" s="101">
        <v>1</v>
      </c>
      <c r="D17" s="101">
        <f t="shared" si="0"/>
        <v>3</v>
      </c>
      <c r="E17" s="102" t="s">
        <v>222</v>
      </c>
      <c r="F17" s="98"/>
    </row>
    <row r="18" spans="1:6" ht="30">
      <c r="A18" s="101" t="s">
        <v>223</v>
      </c>
      <c r="B18" s="101">
        <v>1</v>
      </c>
      <c r="C18" s="101">
        <v>3</v>
      </c>
      <c r="D18" s="101">
        <f t="shared" si="0"/>
        <v>3</v>
      </c>
      <c r="E18" s="102" t="s">
        <v>224</v>
      </c>
      <c r="F18" s="98"/>
    </row>
    <row r="19" spans="1:6">
      <c r="A19" s="101" t="s">
        <v>225</v>
      </c>
      <c r="B19" s="101">
        <v>3</v>
      </c>
      <c r="C19" s="101">
        <v>2</v>
      </c>
      <c r="D19" s="101">
        <f t="shared" si="0"/>
        <v>4</v>
      </c>
      <c r="E19" s="102" t="s">
        <v>226</v>
      </c>
      <c r="F19" s="98"/>
    </row>
    <row r="20" spans="1:6" ht="45">
      <c r="A20" s="101" t="s">
        <v>227</v>
      </c>
      <c r="B20" s="101">
        <v>5</v>
      </c>
      <c r="C20" s="101">
        <v>1</v>
      </c>
      <c r="D20" s="101">
        <f t="shared" si="0"/>
        <v>5</v>
      </c>
      <c r="E20" s="102" t="s">
        <v>228</v>
      </c>
      <c r="F20" s="98"/>
    </row>
    <row r="21" spans="1:6" ht="30">
      <c r="A21" s="101" t="s">
        <v>229</v>
      </c>
      <c r="B21" s="101">
        <v>5</v>
      </c>
      <c r="C21" s="101">
        <v>2</v>
      </c>
      <c r="D21" s="101">
        <f t="shared" si="0"/>
        <v>6</v>
      </c>
      <c r="E21" s="102" t="s">
        <v>230</v>
      </c>
      <c r="F21" s="98"/>
    </row>
    <row r="22" spans="1:6" ht="45">
      <c r="A22" s="101" t="s">
        <v>231</v>
      </c>
      <c r="B22" s="101">
        <v>2</v>
      </c>
      <c r="C22" s="101">
        <v>3</v>
      </c>
      <c r="D22" s="101">
        <f t="shared" si="0"/>
        <v>4</v>
      </c>
      <c r="E22" s="102" t="s">
        <v>232</v>
      </c>
      <c r="F22" s="98"/>
    </row>
    <row r="23" spans="1:6">
      <c r="A23" s="101" t="s">
        <v>233</v>
      </c>
      <c r="B23" s="101">
        <v>4</v>
      </c>
      <c r="C23" s="101">
        <v>3</v>
      </c>
      <c r="D23" s="101">
        <f t="shared" si="0"/>
        <v>6</v>
      </c>
      <c r="E23" s="102" t="s">
        <v>234</v>
      </c>
      <c r="F23" s="98"/>
    </row>
    <row r="24" spans="1:6">
      <c r="A24" s="101" t="s">
        <v>235</v>
      </c>
      <c r="B24" s="101">
        <v>3</v>
      </c>
      <c r="C24" s="101">
        <v>4</v>
      </c>
      <c r="D24" s="101">
        <f t="shared" si="0"/>
        <v>6</v>
      </c>
      <c r="E24" s="102" t="s">
        <v>236</v>
      </c>
      <c r="F24" s="98"/>
    </row>
    <row r="25" spans="1:6">
      <c r="A25" s="101" t="s">
        <v>237</v>
      </c>
      <c r="B25" s="101">
        <v>2</v>
      </c>
      <c r="C25" s="101">
        <v>2</v>
      </c>
      <c r="D25" s="101">
        <f t="shared" si="0"/>
        <v>3</v>
      </c>
      <c r="E25" s="102" t="s">
        <v>238</v>
      </c>
      <c r="F25" s="98"/>
    </row>
    <row r="26" spans="1:6" ht="30">
      <c r="A26" s="101" t="s">
        <v>239</v>
      </c>
      <c r="B26" s="101">
        <v>2</v>
      </c>
      <c r="C26" s="101">
        <v>3</v>
      </c>
      <c r="D26" s="101">
        <f t="shared" si="0"/>
        <v>4</v>
      </c>
      <c r="E26" s="102" t="s">
        <v>240</v>
      </c>
      <c r="F26" s="98"/>
    </row>
    <row r="27" spans="1:6">
      <c r="A27" s="101" t="s">
        <v>241</v>
      </c>
      <c r="B27" s="101"/>
      <c r="C27" s="101"/>
      <c r="D27" s="101"/>
      <c r="E27" s="102"/>
      <c r="F27" s="98"/>
    </row>
    <row r="28" spans="1:6" ht="30">
      <c r="A28" s="101" t="s">
        <v>242</v>
      </c>
      <c r="B28" s="101">
        <v>4</v>
      </c>
      <c r="C28" s="101">
        <v>3</v>
      </c>
      <c r="D28" s="101">
        <f t="shared" si="0"/>
        <v>6</v>
      </c>
      <c r="E28" s="102" t="s">
        <v>243</v>
      </c>
      <c r="F28" s="98"/>
    </row>
    <row r="29" spans="1:6" ht="30">
      <c r="A29" s="101" t="s">
        <v>174</v>
      </c>
      <c r="B29" s="101">
        <v>3</v>
      </c>
      <c r="C29" s="101">
        <v>4</v>
      </c>
      <c r="D29" s="101">
        <f t="shared" si="0"/>
        <v>6</v>
      </c>
      <c r="E29" s="102" t="s">
        <v>244</v>
      </c>
      <c r="F29" s="98"/>
    </row>
    <row r="30" spans="1:6" ht="30">
      <c r="A30" s="101" t="s">
        <v>245</v>
      </c>
      <c r="B30" s="101">
        <v>1</v>
      </c>
      <c r="C30" s="101">
        <v>4</v>
      </c>
      <c r="D30" s="101">
        <f t="shared" si="0"/>
        <v>4</v>
      </c>
      <c r="E30" s="102" t="s">
        <v>246</v>
      </c>
      <c r="F30" s="98"/>
    </row>
    <row r="31" spans="1:6" ht="45">
      <c r="A31" s="101" t="s">
        <v>247</v>
      </c>
      <c r="B31" s="101">
        <v>2</v>
      </c>
      <c r="C31" s="101">
        <v>4</v>
      </c>
      <c r="D31" s="101">
        <f t="shared" si="0"/>
        <v>5</v>
      </c>
      <c r="E31" s="102" t="s">
        <v>248</v>
      </c>
      <c r="F31" s="98"/>
    </row>
    <row r="32" spans="1:6" ht="30">
      <c r="A32" s="101" t="s">
        <v>249</v>
      </c>
      <c r="B32" s="101">
        <v>3</v>
      </c>
      <c r="C32" s="101">
        <v>3</v>
      </c>
      <c r="D32" s="101">
        <f t="shared" si="0"/>
        <v>5</v>
      </c>
      <c r="E32" s="102" t="s">
        <v>250</v>
      </c>
      <c r="F32" s="98"/>
    </row>
    <row r="33" spans="1:6" ht="45">
      <c r="A33" s="101" t="s">
        <v>251</v>
      </c>
      <c r="B33" s="101">
        <v>2</v>
      </c>
      <c r="C33" s="101">
        <v>4</v>
      </c>
      <c r="D33" s="101">
        <f t="shared" si="0"/>
        <v>5</v>
      </c>
      <c r="E33" s="102" t="s">
        <v>252</v>
      </c>
      <c r="F33" s="98"/>
    </row>
    <row r="34" spans="1:6" ht="45">
      <c r="A34" s="101" t="s">
        <v>67</v>
      </c>
      <c r="B34" s="101">
        <v>4</v>
      </c>
      <c r="C34" s="101">
        <v>1</v>
      </c>
      <c r="D34" s="101">
        <f t="shared" si="0"/>
        <v>4</v>
      </c>
      <c r="E34" s="102" t="s">
        <v>253</v>
      </c>
      <c r="F34" s="98"/>
    </row>
    <row r="35" spans="1:6" ht="45">
      <c r="A35" s="101" t="s">
        <v>178</v>
      </c>
      <c r="B35" s="101">
        <v>2</v>
      </c>
      <c r="C35" s="101">
        <v>4</v>
      </c>
      <c r="D35" s="101">
        <f t="shared" si="0"/>
        <v>5</v>
      </c>
      <c r="E35" s="102" t="s">
        <v>254</v>
      </c>
      <c r="F35" s="98"/>
    </row>
    <row r="36" spans="1:6" ht="45">
      <c r="A36" s="101" t="s">
        <v>255</v>
      </c>
      <c r="B36" s="101">
        <v>3</v>
      </c>
      <c r="C36" s="101">
        <v>2</v>
      </c>
      <c r="D36" s="101">
        <f t="shared" si="0"/>
        <v>4</v>
      </c>
      <c r="E36" s="102" t="s">
        <v>256</v>
      </c>
      <c r="F36" s="98"/>
    </row>
    <row r="37" spans="1:6" ht="60">
      <c r="A37" s="101" t="s">
        <v>257</v>
      </c>
      <c r="B37" s="101">
        <v>4</v>
      </c>
      <c r="C37" s="101">
        <v>1</v>
      </c>
      <c r="D37" s="101">
        <f t="shared" si="0"/>
        <v>4</v>
      </c>
      <c r="E37" s="102" t="s">
        <v>258</v>
      </c>
      <c r="F37" s="98"/>
    </row>
    <row r="38" spans="1:6" ht="30">
      <c r="A38" s="101" t="s">
        <v>259</v>
      </c>
      <c r="B38" s="101">
        <v>5</v>
      </c>
      <c r="C38" s="101">
        <v>2</v>
      </c>
      <c r="D38" s="101">
        <f t="shared" si="0"/>
        <v>6</v>
      </c>
      <c r="E38" s="102" t="s">
        <v>260</v>
      </c>
      <c r="F38" s="98"/>
    </row>
    <row r="39" spans="1:6">
      <c r="A39" s="101" t="s">
        <v>261</v>
      </c>
      <c r="B39" s="101">
        <v>2</v>
      </c>
      <c r="C39" s="101">
        <v>1</v>
      </c>
      <c r="D39" s="101">
        <f t="shared" si="0"/>
        <v>2</v>
      </c>
      <c r="E39" s="102" t="s">
        <v>262</v>
      </c>
      <c r="F39" s="98"/>
    </row>
    <row r="40" spans="1:6">
      <c r="A40" s="101" t="s">
        <v>263</v>
      </c>
      <c r="B40" s="101">
        <v>2</v>
      </c>
      <c r="C40" s="101">
        <v>1</v>
      </c>
      <c r="D40" s="101">
        <f t="shared" si="0"/>
        <v>2</v>
      </c>
      <c r="E40" s="102" t="s">
        <v>264</v>
      </c>
      <c r="F40" s="98"/>
    </row>
    <row r="41" spans="1:6">
      <c r="A41" s="101" t="s">
        <v>265</v>
      </c>
      <c r="B41" s="101">
        <v>2</v>
      </c>
      <c r="C41" s="101">
        <v>3</v>
      </c>
      <c r="D41" s="101">
        <f t="shared" si="0"/>
        <v>4</v>
      </c>
      <c r="E41" s="102" t="s">
        <v>266</v>
      </c>
      <c r="F41" s="98"/>
    </row>
    <row r="42" spans="1:6">
      <c r="A42" s="101" t="s">
        <v>180</v>
      </c>
      <c r="B42" s="101">
        <v>1</v>
      </c>
      <c r="C42" s="101">
        <v>5</v>
      </c>
      <c r="D42" s="101">
        <f t="shared" si="0"/>
        <v>5</v>
      </c>
      <c r="E42" s="102" t="s">
        <v>267</v>
      </c>
      <c r="F42" s="98"/>
    </row>
    <row r="43" spans="1:6" ht="30">
      <c r="A43" s="101" t="s">
        <v>268</v>
      </c>
      <c r="B43" s="101">
        <v>3</v>
      </c>
      <c r="C43" s="101">
        <v>1</v>
      </c>
      <c r="D43" s="101">
        <f t="shared" si="0"/>
        <v>3</v>
      </c>
      <c r="E43" s="102" t="s">
        <v>269</v>
      </c>
      <c r="F43" s="98"/>
    </row>
    <row r="44" spans="1:6" ht="30">
      <c r="A44" s="101" t="s">
        <v>270</v>
      </c>
      <c r="B44" s="101">
        <v>1</v>
      </c>
      <c r="C44" s="101">
        <v>5</v>
      </c>
      <c r="D44" s="101">
        <f t="shared" si="0"/>
        <v>5</v>
      </c>
      <c r="E44" s="102" t="s">
        <v>269</v>
      </c>
      <c r="F44" s="98"/>
    </row>
    <row r="45" spans="1:6">
      <c r="A45" s="101" t="s">
        <v>271</v>
      </c>
      <c r="B45" s="101">
        <v>4</v>
      </c>
      <c r="C45" s="101">
        <v>1</v>
      </c>
      <c r="D45" s="101">
        <f t="shared" si="0"/>
        <v>4</v>
      </c>
      <c r="E45" s="102" t="s">
        <v>272</v>
      </c>
      <c r="F45" s="98"/>
    </row>
    <row r="46" spans="1:6" ht="30">
      <c r="A46" s="101" t="s">
        <v>273</v>
      </c>
      <c r="B46" s="101">
        <v>2</v>
      </c>
      <c r="C46" s="101">
        <v>3</v>
      </c>
      <c r="D46" s="101">
        <f t="shared" si="0"/>
        <v>4</v>
      </c>
      <c r="E46" s="102" t="s">
        <v>274</v>
      </c>
      <c r="F46" s="98"/>
    </row>
    <row r="47" spans="1:6" ht="30">
      <c r="A47" s="101" t="s">
        <v>275</v>
      </c>
      <c r="B47" s="101">
        <v>4</v>
      </c>
      <c r="C47" s="101">
        <v>2</v>
      </c>
      <c r="D47" s="101">
        <f t="shared" si="0"/>
        <v>5</v>
      </c>
      <c r="E47" s="102" t="s">
        <v>276</v>
      </c>
      <c r="F47" s="98"/>
    </row>
    <row r="48" spans="1:6" ht="45">
      <c r="A48" s="101" t="s">
        <v>277</v>
      </c>
      <c r="B48" s="101">
        <v>3</v>
      </c>
      <c r="C48" s="101">
        <v>4</v>
      </c>
      <c r="D48" s="101">
        <f t="shared" si="0"/>
        <v>6</v>
      </c>
      <c r="E48" s="102" t="s">
        <v>278</v>
      </c>
      <c r="F48" s="98"/>
    </row>
    <row r="49" spans="1:6" ht="30">
      <c r="A49" s="101" t="s">
        <v>279</v>
      </c>
      <c r="B49" s="101">
        <v>2</v>
      </c>
      <c r="C49" s="101">
        <v>3</v>
      </c>
      <c r="D49" s="101">
        <f t="shared" si="0"/>
        <v>4</v>
      </c>
      <c r="E49" s="102" t="s">
        <v>280</v>
      </c>
      <c r="F49" s="98"/>
    </row>
    <row r="50" spans="1:6" ht="30">
      <c r="A50" s="101" t="s">
        <v>281</v>
      </c>
      <c r="B50" s="101">
        <v>2</v>
      </c>
      <c r="C50" s="101">
        <v>1</v>
      </c>
      <c r="D50" s="101">
        <f t="shared" si="0"/>
        <v>2</v>
      </c>
      <c r="E50" s="102" t="s">
        <v>282</v>
      </c>
      <c r="F50" s="98"/>
    </row>
    <row r="51" spans="1:6" ht="45">
      <c r="A51" s="101" t="s">
        <v>176</v>
      </c>
      <c r="B51" s="101">
        <v>2</v>
      </c>
      <c r="C51" s="101">
        <v>4</v>
      </c>
      <c r="D51" s="101">
        <f t="shared" si="0"/>
        <v>5</v>
      </c>
      <c r="E51" s="102" t="s">
        <v>283</v>
      </c>
      <c r="F51" s="98"/>
    </row>
    <row r="52" spans="1:6" ht="45">
      <c r="A52" s="101" t="s">
        <v>284</v>
      </c>
      <c r="B52" s="101">
        <v>4</v>
      </c>
      <c r="C52" s="101">
        <v>2</v>
      </c>
      <c r="D52" s="101">
        <f t="shared" si="0"/>
        <v>5</v>
      </c>
      <c r="E52" s="102" t="s">
        <v>285</v>
      </c>
      <c r="F52" s="98"/>
    </row>
    <row r="53" spans="1:6" ht="30">
      <c r="A53" s="101" t="s">
        <v>286</v>
      </c>
      <c r="B53" s="101">
        <v>4</v>
      </c>
      <c r="C53" s="101">
        <v>2</v>
      </c>
      <c r="D53" s="101">
        <f t="shared" si="0"/>
        <v>5</v>
      </c>
      <c r="E53" s="102" t="s">
        <v>287</v>
      </c>
      <c r="F53" s="98"/>
    </row>
    <row r="54" spans="1:6" ht="30">
      <c r="A54" s="101" t="s">
        <v>288</v>
      </c>
      <c r="B54" s="101">
        <v>4</v>
      </c>
      <c r="C54" s="101">
        <v>2</v>
      </c>
      <c r="D54" s="101">
        <f t="shared" si="0"/>
        <v>5</v>
      </c>
      <c r="E54" s="102" t="s">
        <v>289</v>
      </c>
      <c r="F54" s="98"/>
    </row>
    <row r="55" spans="1:6" ht="30">
      <c r="A55" s="101" t="s">
        <v>290</v>
      </c>
      <c r="B55" s="101">
        <v>2</v>
      </c>
      <c r="C55" s="101">
        <v>4</v>
      </c>
      <c r="D55" s="101">
        <f t="shared" si="0"/>
        <v>5</v>
      </c>
      <c r="E55" s="102" t="s">
        <v>291</v>
      </c>
      <c r="F55" s="98"/>
    </row>
    <row r="56" spans="1:6">
      <c r="A56" s="101" t="s">
        <v>292</v>
      </c>
      <c r="B56" s="101">
        <v>2</v>
      </c>
      <c r="C56" s="101">
        <v>3</v>
      </c>
      <c r="D56" s="101">
        <f t="shared" si="0"/>
        <v>4</v>
      </c>
      <c r="E56" s="102" t="s">
        <v>293</v>
      </c>
      <c r="F56" s="98"/>
    </row>
    <row r="57" spans="1:6" ht="30">
      <c r="A57" s="101" t="s">
        <v>294</v>
      </c>
      <c r="B57" s="101">
        <v>1</v>
      </c>
      <c r="C57" s="101">
        <v>3</v>
      </c>
      <c r="D57" s="101">
        <f t="shared" si="0"/>
        <v>3</v>
      </c>
      <c r="E57" s="102" t="s">
        <v>295</v>
      </c>
      <c r="F57" s="98"/>
    </row>
    <row r="58" spans="1:6" ht="30">
      <c r="A58" s="101" t="s">
        <v>184</v>
      </c>
      <c r="B58" s="101">
        <v>4</v>
      </c>
      <c r="C58" s="101">
        <v>2</v>
      </c>
      <c r="D58" s="101">
        <f t="shared" si="0"/>
        <v>5</v>
      </c>
      <c r="E58" s="102" t="s">
        <v>296</v>
      </c>
      <c r="F58" s="98"/>
    </row>
    <row r="59" spans="1:6">
      <c r="A59" s="101"/>
      <c r="B59" s="101"/>
      <c r="C59" s="101"/>
      <c r="D59" s="101"/>
      <c r="E59" s="102"/>
      <c r="F59" s="98"/>
    </row>
    <row r="60" spans="1:6">
      <c r="A60" s="101"/>
      <c r="B60" s="101"/>
      <c r="C60" s="101"/>
      <c r="D60" s="101"/>
      <c r="E60" s="102"/>
      <c r="F60" s="98"/>
    </row>
    <row r="61" spans="1:6">
      <c r="A61" s="101"/>
      <c r="B61" s="101"/>
      <c r="C61" s="101"/>
      <c r="D61" s="101"/>
      <c r="E61" s="102"/>
      <c r="F61" s="98"/>
    </row>
    <row r="62" spans="1:6">
      <c r="A62" s="101"/>
      <c r="B62" s="101"/>
      <c r="C62" s="101"/>
      <c r="D62" s="101"/>
      <c r="E62" s="102"/>
      <c r="F62" s="98"/>
    </row>
    <row r="63" spans="1:6">
      <c r="A63" s="101"/>
      <c r="B63" s="101"/>
      <c r="C63" s="101"/>
      <c r="D63" s="101"/>
      <c r="E63" s="102"/>
      <c r="F63" s="98"/>
    </row>
    <row r="64" spans="1:6">
      <c r="A64" s="101"/>
      <c r="B64" s="101"/>
      <c r="C64" s="101"/>
      <c r="D64" s="101"/>
      <c r="E64" s="102"/>
      <c r="F64" s="98"/>
    </row>
    <row r="65" spans="1:6">
      <c r="A65" s="101"/>
      <c r="B65" s="101"/>
      <c r="C65" s="101"/>
      <c r="D65" s="101"/>
      <c r="E65" s="102"/>
      <c r="F65" s="98"/>
    </row>
    <row r="66" spans="1:6">
      <c r="A66" s="101"/>
      <c r="B66" s="101"/>
      <c r="C66" s="101"/>
      <c r="D66" s="101"/>
      <c r="E66" s="102"/>
      <c r="F66" s="98"/>
    </row>
    <row r="67" spans="1:6">
      <c r="A67" s="101"/>
      <c r="B67" s="101"/>
      <c r="C67" s="101"/>
      <c r="D67" s="101"/>
      <c r="E67" s="102"/>
      <c r="F67" s="98"/>
    </row>
    <row r="68" spans="1:6">
      <c r="A68" s="101"/>
      <c r="B68" s="101"/>
      <c r="C68" s="101"/>
      <c r="D68" s="101"/>
      <c r="E68" s="102"/>
      <c r="F68" s="98"/>
    </row>
    <row r="69" spans="1:6">
      <c r="A69" s="101"/>
      <c r="B69" s="101"/>
      <c r="C69" s="101"/>
      <c r="D69" s="101"/>
      <c r="E69" s="102"/>
      <c r="F69" s="98"/>
    </row>
    <row r="70" spans="1:6">
      <c r="A70" s="101"/>
      <c r="B70" s="101"/>
      <c r="C70" s="101"/>
      <c r="D70" s="101"/>
      <c r="E70" s="102"/>
      <c r="F70" s="98"/>
    </row>
    <row r="71" spans="1:6">
      <c r="A71" s="101"/>
      <c r="B71" s="101"/>
      <c r="C71" s="101"/>
      <c r="D71" s="101"/>
      <c r="E71" s="102"/>
      <c r="F71" s="98"/>
    </row>
    <row r="72" spans="1:6" ht="30">
      <c r="A72" s="101" t="s">
        <v>184</v>
      </c>
      <c r="B72" s="101">
        <v>4</v>
      </c>
      <c r="C72" s="101">
        <v>2</v>
      </c>
      <c r="D72" s="101">
        <f t="shared" ref="D72" si="1">B72+C72-1</f>
        <v>5</v>
      </c>
      <c r="E72" s="102" t="s">
        <v>296</v>
      </c>
      <c r="F72" s="98"/>
    </row>
    <row r="73" spans="1:6">
      <c r="F73" s="98"/>
    </row>
    <row r="74" spans="1:6">
      <c r="F74" s="98"/>
    </row>
    <row r="75" spans="1:6">
      <c r="F75" s="98"/>
    </row>
    <row r="76" spans="1:6">
      <c r="F76" s="98"/>
    </row>
    <row r="77" spans="1:6">
      <c r="A77" s="99" t="s">
        <v>297</v>
      </c>
      <c r="F77" s="98"/>
    </row>
    <row r="78" spans="1:6">
      <c r="A78" s="106" t="s">
        <v>298</v>
      </c>
      <c r="F78" s="98"/>
    </row>
    <row r="79" spans="1:6">
      <c r="A79" s="106" t="s">
        <v>299</v>
      </c>
      <c r="F79" s="98"/>
    </row>
    <row r="80" spans="1:6">
      <c r="A80" s="106" t="s">
        <v>300</v>
      </c>
      <c r="F80" s="98"/>
    </row>
    <row r="81" spans="1:6">
      <c r="A81" s="106" t="s">
        <v>301</v>
      </c>
      <c r="F81" s="98"/>
    </row>
    <row r="82" spans="1:6">
      <c r="A82" s="106" t="s">
        <v>302</v>
      </c>
      <c r="F82" s="98"/>
    </row>
    <row r="83" spans="1:6">
      <c r="A83" s="106" t="s">
        <v>303</v>
      </c>
      <c r="F83" s="98"/>
    </row>
    <row r="84" spans="1:6">
      <c r="A84" s="106" t="s">
        <v>304</v>
      </c>
      <c r="F84" s="98"/>
    </row>
    <row r="85" spans="1:6">
      <c r="A85" s="106" t="s">
        <v>305</v>
      </c>
      <c r="F85" s="98"/>
    </row>
    <row r="86" spans="1:6">
      <c r="A86" s="106" t="s">
        <v>306</v>
      </c>
      <c r="F86" s="98"/>
    </row>
    <row r="87" spans="1:6">
      <c r="A87" s="106" t="s">
        <v>307</v>
      </c>
      <c r="F87" s="98"/>
    </row>
    <row r="88" spans="1:6">
      <c r="A88" s="106" t="s">
        <v>308</v>
      </c>
      <c r="F88" s="98"/>
    </row>
    <row r="89" spans="1:6">
      <c r="A89" s="106" t="s">
        <v>309</v>
      </c>
      <c r="F89" s="98"/>
    </row>
    <row r="90" spans="1:6">
      <c r="A90" s="106" t="s">
        <v>310</v>
      </c>
      <c r="F90" s="98"/>
    </row>
    <row r="91" spans="1:6">
      <c r="A91" s="106" t="s">
        <v>311</v>
      </c>
    </row>
    <row r="92" spans="1:6">
      <c r="A92" s="106" t="s">
        <v>312</v>
      </c>
    </row>
    <row r="93" spans="1:6">
      <c r="A93" s="106" t="s">
        <v>313</v>
      </c>
    </row>
    <row r="94" spans="1:6">
      <c r="A94" s="106" t="s">
        <v>314</v>
      </c>
    </row>
    <row r="95" spans="1:6">
      <c r="A95" s="106" t="s">
        <v>315</v>
      </c>
    </row>
    <row r="96" spans="1:6">
      <c r="A96" s="106" t="s">
        <v>316</v>
      </c>
    </row>
    <row r="97" spans="1:5">
      <c r="A97" s="106" t="s">
        <v>317</v>
      </c>
    </row>
    <row r="98" spans="1:5">
      <c r="A98" s="106" t="s">
        <v>318</v>
      </c>
    </row>
    <row r="99" spans="1:5">
      <c r="A99" s="106" t="s">
        <v>319</v>
      </c>
      <c r="E99" s="103"/>
    </row>
    <row r="100" spans="1:5">
      <c r="A100" s="106" t="s">
        <v>320</v>
      </c>
      <c r="E100" s="103"/>
    </row>
    <row r="101" spans="1:5">
      <c r="A101" s="106" t="s">
        <v>321</v>
      </c>
      <c r="E101" s="103"/>
    </row>
    <row r="102" spans="1:5">
      <c r="A102" s="106" t="s">
        <v>322</v>
      </c>
      <c r="E102" s="103"/>
    </row>
    <row r="103" spans="1:5">
      <c r="A103" s="106" t="s">
        <v>323</v>
      </c>
      <c r="E103" s="103"/>
    </row>
    <row r="104" spans="1:5">
      <c r="A104" s="106" t="s">
        <v>324</v>
      </c>
      <c r="E104" s="103"/>
    </row>
    <row r="105" spans="1:5">
      <c r="A105" s="106" t="s">
        <v>325</v>
      </c>
      <c r="E105" s="103"/>
    </row>
    <row r="106" spans="1:5">
      <c r="A106" s="106" t="s">
        <v>326</v>
      </c>
      <c r="E106" s="103"/>
    </row>
    <row r="107" spans="1:5">
      <c r="A107" s="106" t="s">
        <v>327</v>
      </c>
      <c r="E107" s="103"/>
    </row>
    <row r="108" spans="1:5">
      <c r="A108" s="106" t="s">
        <v>328</v>
      </c>
      <c r="E108" s="103"/>
    </row>
    <row r="109" spans="1:5">
      <c r="A109" s="106" t="s">
        <v>329</v>
      </c>
      <c r="E109" s="103"/>
    </row>
    <row r="110" spans="1:5">
      <c r="A110" s="106" t="s">
        <v>330</v>
      </c>
      <c r="E110" s="103"/>
    </row>
    <row r="111" spans="1:5">
      <c r="A111" s="106" t="s">
        <v>331</v>
      </c>
      <c r="E111" s="103"/>
    </row>
    <row r="112" spans="1:5">
      <c r="A112" s="106" t="s">
        <v>332</v>
      </c>
      <c r="E112" s="103"/>
    </row>
    <row r="113" spans="1:5">
      <c r="A113" s="106" t="s">
        <v>333</v>
      </c>
      <c r="E113" s="103"/>
    </row>
    <row r="114" spans="1:5">
      <c r="A114" s="106" t="s">
        <v>334</v>
      </c>
      <c r="E114" s="103"/>
    </row>
    <row r="115" spans="1:5">
      <c r="A115" s="106" t="s">
        <v>335</v>
      </c>
      <c r="E115" s="103"/>
    </row>
    <row r="116" spans="1:5">
      <c r="A116" s="106" t="s">
        <v>336</v>
      </c>
      <c r="E116" s="103"/>
    </row>
    <row r="117" spans="1:5">
      <c r="A117" s="106" t="s">
        <v>337</v>
      </c>
      <c r="E117" s="103"/>
    </row>
    <row r="118" spans="1:5">
      <c r="A118" s="106" t="s">
        <v>338</v>
      </c>
      <c r="E118" s="103"/>
    </row>
    <row r="119" spans="1:5">
      <c r="A119" s="106" t="s">
        <v>339</v>
      </c>
      <c r="E119" s="103"/>
    </row>
    <row r="120" spans="1:5">
      <c r="A120" s="106" t="s">
        <v>340</v>
      </c>
      <c r="E120" s="103"/>
    </row>
    <row r="121" spans="1:5">
      <c r="A121" s="106" t="s">
        <v>341</v>
      </c>
      <c r="E121" s="103"/>
    </row>
    <row r="122" spans="1:5">
      <c r="A122" s="106" t="s">
        <v>342</v>
      </c>
      <c r="E122" s="103"/>
    </row>
    <row r="123" spans="1:5">
      <c r="A123" s="106" t="s">
        <v>343</v>
      </c>
      <c r="E123" s="103"/>
    </row>
    <row r="124" spans="1:5">
      <c r="A124" s="106" t="s">
        <v>344</v>
      </c>
      <c r="E124" s="103"/>
    </row>
    <row r="125" spans="1:5">
      <c r="A125" s="106" t="s">
        <v>345</v>
      </c>
      <c r="E125" s="103"/>
    </row>
    <row r="126" spans="1:5">
      <c r="A126" s="106" t="s">
        <v>346</v>
      </c>
      <c r="E126" s="103"/>
    </row>
    <row r="127" spans="1:5">
      <c r="A127" s="100" t="s">
        <v>347</v>
      </c>
      <c r="E127" s="103"/>
    </row>
    <row r="128" spans="1:5">
      <c r="A128" s="106" t="s">
        <v>348</v>
      </c>
      <c r="E128" s="103"/>
    </row>
    <row r="129" spans="1:5">
      <c r="A129" s="100" t="s">
        <v>349</v>
      </c>
      <c r="E129" s="103"/>
    </row>
    <row r="130" spans="1:5">
      <c r="A130" s="106" t="s">
        <v>350</v>
      </c>
      <c r="E130" s="103"/>
    </row>
    <row r="131" spans="1:5">
      <c r="A131" s="100" t="s">
        <v>351</v>
      </c>
      <c r="E131" s="103"/>
    </row>
    <row r="132" spans="1:5">
      <c r="A132" s="106" t="s">
        <v>352</v>
      </c>
      <c r="E132" s="103"/>
    </row>
    <row r="133" spans="1:5">
      <c r="A133" s="106" t="s">
        <v>353</v>
      </c>
      <c r="E133" s="103"/>
    </row>
    <row r="134" spans="1:5">
      <c r="A134" s="106" t="s">
        <v>354</v>
      </c>
      <c r="E134" s="103"/>
    </row>
    <row r="135" spans="1:5">
      <c r="A135" s="106" t="s">
        <v>355</v>
      </c>
      <c r="E135" s="103"/>
    </row>
    <row r="136" spans="1:5">
      <c r="A136" s="106" t="s">
        <v>356</v>
      </c>
      <c r="E136" s="103"/>
    </row>
    <row r="137" spans="1:5">
      <c r="A137" s="106" t="s">
        <v>357</v>
      </c>
      <c r="E137" s="103"/>
    </row>
    <row r="138" spans="1:5">
      <c r="A138" s="106" t="s">
        <v>358</v>
      </c>
      <c r="E138" s="103"/>
    </row>
    <row r="139" spans="1:5">
      <c r="A139" s="106" t="s">
        <v>359</v>
      </c>
      <c r="E139" s="103"/>
    </row>
    <row r="140" spans="1:5">
      <c r="A140" s="106" t="s">
        <v>360</v>
      </c>
      <c r="E140" s="103"/>
    </row>
    <row r="141" spans="1:5">
      <c r="A141" s="106" t="s">
        <v>361</v>
      </c>
      <c r="E141" s="103"/>
    </row>
    <row r="142" spans="1:5">
      <c r="A142" s="106" t="s">
        <v>362</v>
      </c>
      <c r="E142" s="103"/>
    </row>
    <row r="143" spans="1:5">
      <c r="A143" s="106" t="s">
        <v>363</v>
      </c>
      <c r="E143" s="103"/>
    </row>
    <row r="144" spans="1:5">
      <c r="A144" s="106" t="s">
        <v>364</v>
      </c>
      <c r="E144" s="103"/>
    </row>
    <row r="145" spans="1:5">
      <c r="A145" s="106" t="s">
        <v>365</v>
      </c>
      <c r="E145" s="103"/>
    </row>
    <row r="146" spans="1:5">
      <c r="A146" s="106" t="s">
        <v>366</v>
      </c>
      <c r="E146" s="103"/>
    </row>
    <row r="147" spans="1:5">
      <c r="A147" s="106" t="s">
        <v>367</v>
      </c>
      <c r="E147" s="103"/>
    </row>
    <row r="148" spans="1:5">
      <c r="A148" s="106" t="s">
        <v>368</v>
      </c>
      <c r="E148" s="103"/>
    </row>
    <row r="149" spans="1:5">
      <c r="A149" s="106" t="s">
        <v>369</v>
      </c>
      <c r="E149" s="103"/>
    </row>
    <row r="150" spans="1:5">
      <c r="A150" s="106" t="s">
        <v>370</v>
      </c>
      <c r="E150" s="103"/>
    </row>
    <row r="151" spans="1:5">
      <c r="A151" s="106" t="s">
        <v>371</v>
      </c>
      <c r="E151" s="103"/>
    </row>
    <row r="152" spans="1:5">
      <c r="A152" s="106" t="s">
        <v>372</v>
      </c>
      <c r="E152" s="103"/>
    </row>
    <row r="153" spans="1:5">
      <c r="A153" s="106" t="s">
        <v>373</v>
      </c>
      <c r="E153" s="103"/>
    </row>
    <row r="154" spans="1:5">
      <c r="A154" s="106" t="s">
        <v>374</v>
      </c>
      <c r="E154" s="103"/>
    </row>
    <row r="155" spans="1:5">
      <c r="A155" s="106" t="s">
        <v>375</v>
      </c>
      <c r="E155" s="103"/>
    </row>
    <row r="156" spans="1:5">
      <c r="A156" s="106" t="s">
        <v>376</v>
      </c>
      <c r="E156" s="103"/>
    </row>
    <row r="157" spans="1:5">
      <c r="A157" s="106" t="s">
        <v>377</v>
      </c>
      <c r="E157" s="103"/>
    </row>
    <row r="158" spans="1:5">
      <c r="A158" s="106" t="s">
        <v>378</v>
      </c>
      <c r="E158" s="103"/>
    </row>
    <row r="159" spans="1:5">
      <c r="A159" s="106" t="s">
        <v>379</v>
      </c>
      <c r="E159" s="103"/>
    </row>
    <row r="160" spans="1:5">
      <c r="A160" s="106" t="s">
        <v>380</v>
      </c>
      <c r="E160" s="103"/>
    </row>
    <row r="161" spans="1:5">
      <c r="A161" s="106" t="s">
        <v>381</v>
      </c>
      <c r="E161" s="103"/>
    </row>
    <row r="162" spans="1:5">
      <c r="A162" s="106" t="s">
        <v>382</v>
      </c>
      <c r="E162" s="103"/>
    </row>
    <row r="163" spans="1:5">
      <c r="A163" s="106" t="s">
        <v>383</v>
      </c>
      <c r="E163" s="103"/>
    </row>
    <row r="164" spans="1:5">
      <c r="A164" s="106" t="s">
        <v>384</v>
      </c>
      <c r="E164" s="103"/>
    </row>
    <row r="165" spans="1:5">
      <c r="A165" s="106" t="s">
        <v>385</v>
      </c>
      <c r="E165" s="103"/>
    </row>
    <row r="166" spans="1:5">
      <c r="A166" s="106" t="s">
        <v>386</v>
      </c>
      <c r="E166" s="103"/>
    </row>
    <row r="167" spans="1:5">
      <c r="A167" s="106" t="s">
        <v>387</v>
      </c>
      <c r="E167" s="103"/>
    </row>
    <row r="168" spans="1:5">
      <c r="A168" s="106" t="s">
        <v>388</v>
      </c>
      <c r="E168" s="103"/>
    </row>
    <row r="169" spans="1:5">
      <c r="A169" s="106" t="s">
        <v>389</v>
      </c>
      <c r="E169" s="103"/>
    </row>
    <row r="170" spans="1:5">
      <c r="A170" s="106" t="s">
        <v>390</v>
      </c>
      <c r="E170" s="103"/>
    </row>
    <row r="171" spans="1:5">
      <c r="A171" s="106" t="s">
        <v>391</v>
      </c>
      <c r="E171" s="103"/>
    </row>
    <row r="172" spans="1:5">
      <c r="A172" s="106" t="s">
        <v>392</v>
      </c>
      <c r="E172" s="103"/>
    </row>
    <row r="173" spans="1:5">
      <c r="A173" s="106" t="s">
        <v>393</v>
      </c>
      <c r="E173" s="103"/>
    </row>
    <row r="174" spans="1:5">
      <c r="A174" s="106" t="s">
        <v>394</v>
      </c>
      <c r="E174" s="103"/>
    </row>
    <row r="175" spans="1:5">
      <c r="A175" s="106" t="s">
        <v>395</v>
      </c>
      <c r="E175" s="103"/>
    </row>
    <row r="176" spans="1:5">
      <c r="A176" s="106" t="s">
        <v>396</v>
      </c>
      <c r="E176" s="103"/>
    </row>
    <row r="177" spans="1:5">
      <c r="A177" s="106" t="s">
        <v>397</v>
      </c>
      <c r="E177" s="103"/>
    </row>
    <row r="178" spans="1:5">
      <c r="A178" s="106" t="s">
        <v>83</v>
      </c>
      <c r="E178" s="103"/>
    </row>
    <row r="179" spans="1:5">
      <c r="A179" s="106" t="s">
        <v>398</v>
      </c>
      <c r="E179" s="103"/>
    </row>
    <row r="180" spans="1:5">
      <c r="A180" s="106" t="s">
        <v>399</v>
      </c>
      <c r="E180" s="103"/>
    </row>
    <row r="181" spans="1:5">
      <c r="A181" s="106" t="s">
        <v>400</v>
      </c>
      <c r="E181" s="103"/>
    </row>
    <row r="182" spans="1:5">
      <c r="A182" s="106" t="s">
        <v>401</v>
      </c>
      <c r="E182" s="103"/>
    </row>
    <row r="183" spans="1:5">
      <c r="A183" s="106" t="s">
        <v>402</v>
      </c>
      <c r="E183" s="103"/>
    </row>
    <row r="184" spans="1:5">
      <c r="A184" s="106" t="s">
        <v>403</v>
      </c>
      <c r="E184" s="103"/>
    </row>
    <row r="185" spans="1:5">
      <c r="A185" s="106" t="s">
        <v>404</v>
      </c>
      <c r="E185" s="103"/>
    </row>
    <row r="186" spans="1:5">
      <c r="A186" s="106" t="s">
        <v>405</v>
      </c>
      <c r="E186" s="103"/>
    </row>
    <row r="187" spans="1:5">
      <c r="A187" s="106" t="s">
        <v>406</v>
      </c>
      <c r="E187" s="103"/>
    </row>
    <row r="188" spans="1:5">
      <c r="A188" s="106"/>
      <c r="E188" s="103"/>
    </row>
    <row r="189" spans="1:5">
      <c r="A189" s="106"/>
      <c r="E189" s="103"/>
    </row>
    <row r="190" spans="1:5">
      <c r="A190" s="106"/>
      <c r="E190" s="103"/>
    </row>
    <row r="191" spans="1:5">
      <c r="A191" s="106"/>
      <c r="E191" s="103"/>
    </row>
  </sheetData>
  <autoFilter ref="A1:F135" xr:uid="{E19FE469-8306-465F-BB43-01C83C1508EB}"/>
  <conditionalFormatting sqref="D59:D72">
    <cfRule type="cellIs" dxfId="8" priority="10" operator="between">
      <formula>3.41</formula>
      <formula>5.99</formula>
    </cfRule>
    <cfRule type="cellIs" dxfId="7" priority="11" operator="lessThanOrEqual">
      <formula>3.4</formula>
    </cfRule>
    <cfRule type="cellIs" dxfId="6" priority="12" operator="greaterThanOrEqual">
      <formula>6</formula>
    </cfRule>
  </conditionalFormatting>
  <conditionalFormatting sqref="D2:D33 D35:D58">
    <cfRule type="cellIs" dxfId="5" priority="4" operator="between">
      <formula>3.41</formula>
      <formula>5.99</formula>
    </cfRule>
    <cfRule type="cellIs" dxfId="4" priority="5" operator="lessThanOrEqual">
      <formula>3.4</formula>
    </cfRule>
    <cfRule type="cellIs" dxfId="3" priority="6" operator="greaterThanOrEqual">
      <formula>6</formula>
    </cfRule>
  </conditionalFormatting>
  <conditionalFormatting sqref="D34">
    <cfRule type="cellIs" dxfId="2" priority="1" operator="between">
      <formula>3.41</formula>
      <formula>5.99</formula>
    </cfRule>
    <cfRule type="cellIs" dxfId="1" priority="2" operator="lessThanOrEqual">
      <formula>3.4</formula>
    </cfRule>
    <cfRule type="cellIs" dxfId="0" priority="3" operator="greaterThanOrEqual">
      <formula>6</formula>
    </cfRule>
  </conditionalFormatting>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ABA2F64D6E2C740A2EFD32F6136F44B" ma:contentTypeVersion="31" ma:contentTypeDescription="Create a new document." ma:contentTypeScope="" ma:versionID="f6d5169442be2795745eeba6edf0f975">
  <xsd:schema xmlns:xsd="http://www.w3.org/2001/XMLSchema" xmlns:xs="http://www.w3.org/2001/XMLSchema" xmlns:p="http://schemas.microsoft.com/office/2006/metadata/properties" xmlns:ns2="25586fb6-ed09-4f2d-8ea7-eda1a9fd2320" xmlns:ns3="cc7fbaa3-8214-4644-99f1-d2e5a6ae9914" xmlns:ns4="f0c7a816-7a7e-42fb-b4dd-eafc20cb049d" targetNamespace="http://schemas.microsoft.com/office/2006/metadata/properties" ma:root="true" ma:fieldsID="1d6046f623722b44c576f527ef753e5d" ns2:_="" ns3:_="" ns4:_="">
    <xsd:import namespace="25586fb6-ed09-4f2d-8ea7-eda1a9fd2320"/>
    <xsd:import namespace="cc7fbaa3-8214-4644-99f1-d2e5a6ae9914"/>
    <xsd:import namespace="f0c7a816-7a7e-42fb-b4dd-eafc20cb049d"/>
    <xsd:element name="properties">
      <xsd:complexType>
        <xsd:sequence>
          <xsd:element name="documentManagement">
            <xsd:complexType>
              <xsd:all>
                <xsd:element ref="ns2:Process_x0020_Owmer"/>
                <xsd:element ref="ns2:Functional_x0020_Owner"/>
                <xsd:element ref="ns3:LastReviewDate" minOccurs="0"/>
                <xsd:element ref="ns2:Nomenclature" minOccurs="0"/>
                <xsd:element ref="ns3:RevisionNumber" minOccurs="0"/>
                <xsd:element ref="ns2:MediaServiceMetadata" minOccurs="0"/>
                <xsd:element ref="ns2:MediaServiceFastMetadata" minOccurs="0"/>
                <xsd:element ref="ns3:MediaServiceAutoKeyPoints" minOccurs="0"/>
                <xsd:element ref="ns3:MediaServiceKeyPoints" minOccurs="0"/>
                <xsd:element ref="ns4:SharedWithUsers" minOccurs="0"/>
                <xsd:element ref="ns4:SharedWithDetails" minOccurs="0"/>
                <xsd:element ref="ns3:MediaServiceDateTaken" minOccurs="0"/>
                <xsd:element ref="ns3:MediaLengthInSeconds"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586fb6-ed09-4f2d-8ea7-eda1a9fd2320" elementFormDefault="qualified">
    <xsd:import namespace="http://schemas.microsoft.com/office/2006/documentManagement/types"/>
    <xsd:import namespace="http://schemas.microsoft.com/office/infopath/2007/PartnerControls"/>
    <xsd:element name="Process_x0020_Owmer" ma:index="1" ma:displayName="Have a question? Email the Process Owner" ma:description="Discuss Audit Findings and QWI Updates with the Responsible Person" ma:list="UserInfo" ma:SharePointGroup="0" ma:internalName="Process_x0020_Owmer" ma:readOnly="false" ma:showField="NameWithPictureAndDetails">
      <xsd:complexType>
        <xsd:complexContent>
          <xsd:extension base="dms:User">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element name="Functional_x0020_Owner" ma:index="2" ma:displayName="Function" ma:default="Management Processes - Leadership and Commitment" ma:description="Management Processes - Leadership and Commitment" ma:format="Dropdown" ma:internalName="Functional_x0020_Owner" ma:readOnly="false">
      <xsd:simpleType>
        <xsd:restriction base="dms:Text">
          <xsd:maxLength value="255"/>
        </xsd:restriction>
      </xsd:simpleType>
    </xsd:element>
    <xsd:element name="Nomenclature" ma:index="4" nillable="true" ma:displayName="Document Number" ma:format="Dropdown" ma:internalName="Nomenclature" ma:readOnly="false">
      <xsd:simpleType>
        <xsd:restriction base="dms:Text">
          <xsd:maxLength value="255"/>
        </xsd:restriction>
      </xsd:simple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c7fbaa3-8214-4644-99f1-d2e5a6ae9914" elementFormDefault="qualified">
    <xsd:import namespace="http://schemas.microsoft.com/office/2006/documentManagement/types"/>
    <xsd:import namespace="http://schemas.microsoft.com/office/infopath/2007/PartnerControls"/>
    <xsd:element name="LastReviewDate" ma:index="3" nillable="true" ma:displayName="Last Review Date" ma:description="The date the procedure was last reviewed or revised" ma:format="DateOnly" ma:internalName="LastReviewDate" ma:readOnly="false">
      <xsd:simpleType>
        <xsd:restriction base="dms:DateTime"/>
      </xsd:simpleType>
    </xsd:element>
    <xsd:element name="RevisionNumber" ma:index="5" nillable="true" ma:displayName="Revision Number" ma:decimals="1" ma:description="The current revision published" ma:format="Dropdown" ma:internalName="RevisionNumber" ma:readOnly="false" ma:percentage="FALSE">
      <xsd:simpleType>
        <xsd:restriction base="dms:Number"/>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hidden="true" ma:internalName="MediaServiceKeyPoints" ma:readOnly="true">
      <xsd:simpleType>
        <xsd:restriction base="dms:Note"/>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ServiceSearchProperties" ma:index="20"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0c7a816-7a7e-42fb-b4dd-eafc20cb049d" elementFormDefault="qualified">
    <xsd:import namespace="http://schemas.microsoft.com/office/2006/documentManagement/types"/>
    <xsd:import namespace="http://schemas.microsoft.com/office/infopath/2007/PartnerControls"/>
    <xsd:element name="SharedWithUsers" ma:index="15" nillable="true" ma:displayName="Shared With"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hidden="true" ma:internalName="SharedWithDetail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displayName="QMS Lev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rocess_x0020_Owmer xmlns="25586fb6-ed09-4f2d-8ea7-eda1a9fd2320">
      <UserInfo>
        <DisplayName>Conway, Ross (GE Vernova)</DisplayName>
        <AccountId>471</AccountId>
        <AccountType/>
      </UserInfo>
    </Process_x0020_Owmer>
    <Functional_x0020_Owner xmlns="25586fb6-ed09-4f2d-8ea7-eda1a9fd2320">Management Processes - Leadership and Commitment</Functional_x0020_Owner>
    <Nomenclature xmlns="25586fb6-ed09-4f2d-8ea7-eda1a9fd2320" xsi:nil="true"/>
    <LastReviewDate xmlns="cc7fbaa3-8214-4644-99f1-d2e5a6ae9914" xsi:nil="true"/>
    <RevisionNumber xmlns="cc7fbaa3-8214-4644-99f1-d2e5a6ae9914" xsi:nil="true"/>
  </documentManagement>
</p:properties>
</file>

<file path=customXml/itemProps1.xml><?xml version="1.0" encoding="utf-8"?>
<ds:datastoreItem xmlns:ds="http://schemas.openxmlformats.org/officeDocument/2006/customXml" ds:itemID="{1BD301AE-DF96-4273-8F1F-C588005DFE37}"/>
</file>

<file path=customXml/itemProps2.xml><?xml version="1.0" encoding="utf-8"?>
<ds:datastoreItem xmlns:ds="http://schemas.openxmlformats.org/officeDocument/2006/customXml" ds:itemID="{5F148BBE-6737-4BED-99A8-496B08FEC504}"/>
</file>

<file path=customXml/itemProps3.xml><?xml version="1.0" encoding="utf-8"?>
<ds:datastoreItem xmlns:ds="http://schemas.openxmlformats.org/officeDocument/2006/customXml" ds:itemID="{B784ACE6-B8EF-4235-9285-1090F5B58AD0}"/>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Edwards, Mark (FieldCore)</dc:creator>
  <cp:keywords/>
  <dc:description/>
  <cp:lastModifiedBy>Conway, Ross (GE Vernova)</cp:lastModifiedBy>
  <cp:revision/>
  <dcterms:created xsi:type="dcterms:W3CDTF">2020-02-07T11:44:21Z</dcterms:created>
  <dcterms:modified xsi:type="dcterms:W3CDTF">2024-02-27T17:41:57Z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0x010100AABA2F64D6E2C740A2EFD32F6136F44B</vt:lpwstr>
  </property>
</Properties>
</file>