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24" codeName="{00000000-0000-0000-0000-000000000000}"/>
  <workbookPr codeName="ThisWorkbook" defaultThemeVersion="166925"/>
  <mc:AlternateContent xmlns:mc="http://schemas.openxmlformats.org/markup-compatibility/2006">
    <mc:Choice Requires="x15">
      <x15ac:absPath xmlns:x15ac="http://schemas.microsoft.com/office/spreadsheetml/2010/11/ac" url="C:\Users\605044582\OneDrive - General Electric International, Inc\Desktop\Fatigue management\"/>
    </mc:Choice>
  </mc:AlternateContent>
  <xr:revisionPtr revIDLastSave="0" documentId="8_{2CC4DA30-7C59-4714-8B92-99E94203FA21}" xr6:coauthVersionLast="47" xr6:coauthVersionMax="47" xr10:uidLastSave="{00000000-0000-0000-0000-000000000000}"/>
  <bookViews>
    <workbookView xWindow="-110" yWindow="-110" windowWidth="19420" windowHeight="10420" xr2:uid="{12A20157-04E8-41C7-A0CE-DD1E97B87015}"/>
  </bookViews>
  <sheets>
    <sheet name="TRA_English" sheetId="1" r:id="rId1"/>
    <sheet name="Risk Matrix" sheetId="2" r:id="rId2"/>
    <sheet name="Severity Guidance" sheetId="4" r:id="rId3"/>
    <sheet name="Risk Calculator_Guidance" sheetId="3" r:id="rId4"/>
    <sheet name="Note" sheetId="5" r:id="rId5"/>
    <sheet name="Hazard_Defense_Code" sheetId="6" r:id="rId6"/>
    <sheet name="HHI" sheetId="7" r:id="rId7"/>
  </sheets>
  <externalReferences>
    <externalReference r:id="rId8"/>
    <externalReference r:id="rId9"/>
  </externalReferences>
  <definedNames>
    <definedName name="_xlnm._FilterDatabase" localSheetId="5" hidden="1">Hazard_Defense_Code!$A$1:$F$137</definedName>
    <definedName name="ALARP" localSheetId="5">'[1]Data - Project'!#REF!</definedName>
    <definedName name="ALARP">'[1]Data - Project'!#REF!</definedName>
    <definedName name="FormExp">'[1]Data - HRA'!$A$9:$A$17</definedName>
    <definedName name="Graph_Options" localSheetId="5">#REF!</definedName>
    <definedName name="Graph_Options">#REF!</definedName>
    <definedName name="HazSerNo">OFFSET('[1]Project HHI(Example)'!$A$3,0,0,COUNT('[1]Project HHI(Example)'!$A:$A),1)</definedName>
    <definedName name="HHG">'[1]Data - HRA'!$C$2:$C$6</definedName>
    <definedName name="List" localSheetId="5">#REF!</definedName>
    <definedName name="List">#REF!</definedName>
    <definedName name="NA" localSheetId="5">'[2]Weekly Site Inspection'!#REF!,'[2]Weekly Site Inspection'!$I$13:$I$17,'[2]Weekly Site Inspection'!$I$34:$I$95</definedName>
    <definedName name="NA">'[2]Weekly Site Inspection'!#REF!,'[2]Weekly Site Inspection'!$I$13:$I$17,'[2]Weekly Site Inspection'!$I$34:$I$95</definedName>
    <definedName name="NC" localSheetId="5">'[2]Weekly Site Inspection'!#REF!,'[2]Weekly Site Inspection'!$H$13:$H$17,'[2]Weekly Site Inspection'!$H$34:$H$95</definedName>
    <definedName name="NC">'[2]Weekly Site Inspection'!#REF!,'[2]Weekly Site Inspection'!$H$13:$H$17,'[2]Weekly Site Inspection'!$H$34:$H$95</definedName>
    <definedName name="_xlnm.Print_Area" localSheetId="2">'Severity Guidance'!$B$2:$H$7</definedName>
    <definedName name="_xlnm.Print_Area" localSheetId="0">TRA_English!$A$1:$Y$30</definedName>
    <definedName name="RAM" localSheetId="5">#REF!</definedName>
    <definedName name="RAM">#REF!</definedName>
    <definedName name="RouteExp">'[1]Data - HRA'!$A$2:$A$7</definedName>
    <definedName name="X" localSheetId="5">#REF!</definedName>
    <definedName name="X">#REF!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6" i="1" l="1"/>
  <c r="H357" i="7"/>
  <c r="H356" i="7"/>
  <c r="H355" i="7"/>
  <c r="H354" i="7"/>
  <c r="H353" i="7"/>
  <c r="H352" i="7"/>
  <c r="H351" i="7"/>
  <c r="H350" i="7"/>
  <c r="H349" i="7"/>
  <c r="H348" i="7"/>
  <c r="H347" i="7"/>
  <c r="H346" i="7"/>
  <c r="H345" i="7"/>
  <c r="H344" i="7"/>
  <c r="L343" i="7"/>
  <c r="H343" i="7"/>
  <c r="H342" i="7"/>
  <c r="H341" i="7"/>
  <c r="H340" i="7"/>
  <c r="H339" i="7"/>
  <c r="H338" i="7"/>
  <c r="H337" i="7"/>
  <c r="H336" i="7"/>
  <c r="H335" i="7"/>
  <c r="H334" i="7"/>
  <c r="H333" i="7"/>
  <c r="H332" i="7"/>
  <c r="H331" i="7"/>
  <c r="H330" i="7"/>
  <c r="H329" i="7"/>
  <c r="H328" i="7"/>
  <c r="H327" i="7"/>
  <c r="H326" i="7"/>
  <c r="H325" i="7"/>
  <c r="H324" i="7"/>
  <c r="H323" i="7"/>
  <c r="H322" i="7"/>
  <c r="H321" i="7"/>
  <c r="H320" i="7"/>
  <c r="H319" i="7"/>
  <c r="H318" i="7"/>
  <c r="H317" i="7"/>
  <c r="H316" i="7"/>
  <c r="H315" i="7"/>
  <c r="H314" i="7"/>
  <c r="H313" i="7"/>
  <c r="H312" i="7"/>
  <c r="H311" i="7"/>
  <c r="H310" i="7"/>
  <c r="L309" i="7"/>
  <c r="H309" i="7"/>
  <c r="L308" i="7"/>
  <c r="H308" i="7"/>
  <c r="L307" i="7"/>
  <c r="H307" i="7"/>
  <c r="L306" i="7"/>
  <c r="H306" i="7"/>
  <c r="L305" i="7"/>
  <c r="H305" i="7"/>
  <c r="L304" i="7"/>
  <c r="H304" i="7"/>
  <c r="L303" i="7"/>
  <c r="H303" i="7"/>
  <c r="L302" i="7"/>
  <c r="H302" i="7"/>
  <c r="L301" i="7"/>
  <c r="H301" i="7"/>
  <c r="L300" i="7"/>
  <c r="H300" i="7"/>
  <c r="L299" i="7"/>
  <c r="H299" i="7"/>
  <c r="L298" i="7"/>
  <c r="H298" i="7"/>
  <c r="L297" i="7"/>
  <c r="H297" i="7"/>
  <c r="L296" i="7"/>
  <c r="H296" i="7"/>
  <c r="L295" i="7"/>
  <c r="H295" i="7"/>
  <c r="L294" i="7"/>
  <c r="H294" i="7"/>
  <c r="L293" i="7"/>
  <c r="H293" i="7"/>
  <c r="L292" i="7"/>
  <c r="H292" i="7"/>
  <c r="L291" i="7"/>
  <c r="H291" i="7"/>
  <c r="L290" i="7"/>
  <c r="H290" i="7"/>
  <c r="L289" i="7"/>
  <c r="H289" i="7"/>
  <c r="L288" i="7"/>
  <c r="H288" i="7"/>
  <c r="L287" i="7"/>
  <c r="H287" i="7"/>
  <c r="L286" i="7"/>
  <c r="H286" i="7"/>
  <c r="L285" i="7"/>
  <c r="H285" i="7"/>
  <c r="L284" i="7"/>
  <c r="H284" i="7"/>
  <c r="L283" i="7"/>
  <c r="H283" i="7"/>
  <c r="L282" i="7"/>
  <c r="H282" i="7"/>
  <c r="L281" i="7"/>
  <c r="H281" i="7"/>
  <c r="L280" i="7"/>
  <c r="H280" i="7"/>
  <c r="L279" i="7"/>
  <c r="H279" i="7"/>
  <c r="L278" i="7"/>
  <c r="H278" i="7"/>
  <c r="L277" i="7"/>
  <c r="H277" i="7"/>
  <c r="H276" i="7"/>
  <c r="L275" i="7"/>
  <c r="H275" i="7"/>
  <c r="L274" i="7"/>
  <c r="H274" i="7"/>
  <c r="L273" i="7"/>
  <c r="H273" i="7"/>
  <c r="L272" i="7"/>
  <c r="H272" i="7"/>
  <c r="L271" i="7"/>
  <c r="H271" i="7"/>
  <c r="L270" i="7"/>
  <c r="H270" i="7"/>
  <c r="L269" i="7"/>
  <c r="H269" i="7"/>
  <c r="L268" i="7"/>
  <c r="H268" i="7"/>
  <c r="H267" i="7"/>
  <c r="H266" i="7"/>
  <c r="L265" i="7"/>
  <c r="H265" i="7"/>
  <c r="L264" i="7"/>
  <c r="H264" i="7"/>
  <c r="L263" i="7"/>
  <c r="H263" i="7"/>
  <c r="L262" i="7"/>
  <c r="H262" i="7"/>
  <c r="H261" i="7"/>
  <c r="H260" i="7"/>
  <c r="H259" i="7"/>
  <c r="H258" i="7"/>
  <c r="H257" i="7"/>
  <c r="L256" i="7"/>
  <c r="H256" i="7"/>
  <c r="L255" i="7"/>
  <c r="H255" i="7"/>
  <c r="L254" i="7"/>
  <c r="H254" i="7"/>
  <c r="L253" i="7"/>
  <c r="H253" i="7"/>
  <c r="L252" i="7"/>
  <c r="H252" i="7"/>
  <c r="L251" i="7"/>
  <c r="H251" i="7"/>
  <c r="L250" i="7"/>
  <c r="H250" i="7"/>
  <c r="L249" i="7"/>
  <c r="H249" i="7"/>
  <c r="L248" i="7"/>
  <c r="H248" i="7"/>
  <c r="L247" i="7"/>
  <c r="H247" i="7"/>
  <c r="L246" i="7"/>
  <c r="H246" i="7"/>
  <c r="L245" i="7"/>
  <c r="H245" i="7"/>
  <c r="L244" i="7"/>
  <c r="H244" i="7"/>
  <c r="L243" i="7"/>
  <c r="H243" i="7"/>
  <c r="L242" i="7"/>
  <c r="H242" i="7"/>
  <c r="H241" i="7"/>
  <c r="H240" i="7"/>
  <c r="H239" i="7"/>
  <c r="H238" i="7"/>
  <c r="H237" i="7"/>
  <c r="H236" i="7"/>
  <c r="H235" i="7"/>
  <c r="L234" i="7"/>
  <c r="H234" i="7"/>
  <c r="L233" i="7"/>
  <c r="H233" i="7"/>
  <c r="L232" i="7"/>
  <c r="H232" i="7"/>
  <c r="L231" i="7"/>
  <c r="H231" i="7"/>
  <c r="L230" i="7"/>
  <c r="H230" i="7"/>
  <c r="L229" i="7"/>
  <c r="H229" i="7"/>
  <c r="L228" i="7"/>
  <c r="H228" i="7"/>
  <c r="L227" i="7"/>
  <c r="H227" i="7"/>
  <c r="L226" i="7"/>
  <c r="H226" i="7"/>
  <c r="L225" i="7"/>
  <c r="H225" i="7"/>
  <c r="L224" i="7"/>
  <c r="H224" i="7"/>
  <c r="L223" i="7"/>
  <c r="H223" i="7"/>
  <c r="L222" i="7"/>
  <c r="H222" i="7"/>
  <c r="L221" i="7"/>
  <c r="H221" i="7"/>
  <c r="L220" i="7"/>
  <c r="H220" i="7"/>
  <c r="L219" i="7"/>
  <c r="H219" i="7"/>
  <c r="L218" i="7"/>
  <c r="H218" i="7"/>
  <c r="L217" i="7"/>
  <c r="H217" i="7"/>
  <c r="L216" i="7"/>
  <c r="H216" i="7"/>
  <c r="L215" i="7"/>
  <c r="H215" i="7"/>
  <c r="L214" i="7"/>
  <c r="H214" i="7"/>
  <c r="L213" i="7"/>
  <c r="H213" i="7"/>
  <c r="L212" i="7"/>
  <c r="H212" i="7"/>
  <c r="L211" i="7"/>
  <c r="H211" i="7"/>
  <c r="L210" i="7"/>
  <c r="H210" i="7"/>
  <c r="L209" i="7"/>
  <c r="H209" i="7"/>
  <c r="L208" i="7"/>
  <c r="H208" i="7"/>
  <c r="L207" i="7"/>
  <c r="H207" i="7"/>
  <c r="L206" i="7"/>
  <c r="H206" i="7"/>
  <c r="L205" i="7"/>
  <c r="H205" i="7"/>
  <c r="L204" i="7"/>
  <c r="H204" i="7"/>
  <c r="L203" i="7"/>
  <c r="H203" i="7"/>
  <c r="L202" i="7"/>
  <c r="H202" i="7"/>
  <c r="L201" i="7"/>
  <c r="H201" i="7"/>
  <c r="L200" i="7"/>
  <c r="H200" i="7"/>
  <c r="L199" i="7"/>
  <c r="H199" i="7"/>
  <c r="L198" i="7"/>
  <c r="H198" i="7"/>
  <c r="L197" i="7"/>
  <c r="H197" i="7"/>
  <c r="L196" i="7"/>
  <c r="H196" i="7"/>
  <c r="L195" i="7"/>
  <c r="H195" i="7"/>
  <c r="L194" i="7"/>
  <c r="H194" i="7"/>
  <c r="L193" i="7"/>
  <c r="H193" i="7"/>
  <c r="L192" i="7"/>
  <c r="H192" i="7"/>
  <c r="L191" i="7"/>
  <c r="H191" i="7"/>
  <c r="L190" i="7"/>
  <c r="H190" i="7"/>
  <c r="L189" i="7"/>
  <c r="H189" i="7"/>
  <c r="L188" i="7"/>
  <c r="H188" i="7"/>
  <c r="L187" i="7"/>
  <c r="H187" i="7"/>
  <c r="L186" i="7"/>
  <c r="H186" i="7"/>
  <c r="L185" i="7"/>
  <c r="H185" i="7"/>
  <c r="L184" i="7"/>
  <c r="H184" i="7"/>
  <c r="L183" i="7"/>
  <c r="H183" i="7"/>
  <c r="L182" i="7"/>
  <c r="H182" i="7"/>
  <c r="H181" i="7"/>
  <c r="L180" i="7"/>
  <c r="H180" i="7"/>
  <c r="L179" i="7"/>
  <c r="H179" i="7"/>
  <c r="L178" i="7"/>
  <c r="H178" i="7"/>
  <c r="L177" i="7"/>
  <c r="H177" i="7"/>
  <c r="L176" i="7"/>
  <c r="H176" i="7"/>
  <c r="L175" i="7"/>
  <c r="H175" i="7"/>
  <c r="L174" i="7"/>
  <c r="H174" i="7"/>
  <c r="H173" i="7"/>
  <c r="H172" i="7"/>
  <c r="L171" i="7"/>
  <c r="H171" i="7"/>
  <c r="L170" i="7"/>
  <c r="H170" i="7"/>
  <c r="L169" i="7"/>
  <c r="H169" i="7"/>
  <c r="L168" i="7"/>
  <c r="H168" i="7"/>
  <c r="L167" i="7"/>
  <c r="H167" i="7"/>
  <c r="L166" i="7"/>
  <c r="H166" i="7"/>
  <c r="L165" i="7"/>
  <c r="H165" i="7"/>
  <c r="L164" i="7"/>
  <c r="H164" i="7"/>
  <c r="L163" i="7"/>
  <c r="H163" i="7"/>
  <c r="L162" i="7"/>
  <c r="H162" i="7"/>
  <c r="L161" i="7"/>
  <c r="H161" i="7"/>
  <c r="L160" i="7"/>
  <c r="H160" i="7"/>
  <c r="L159" i="7"/>
  <c r="H159" i="7"/>
  <c r="L158" i="7"/>
  <c r="H158" i="7"/>
  <c r="L157" i="7"/>
  <c r="H157" i="7"/>
  <c r="L156" i="7"/>
  <c r="H156" i="7"/>
  <c r="L155" i="7"/>
  <c r="H155" i="7"/>
  <c r="L154" i="7"/>
  <c r="H154" i="7"/>
  <c r="L153" i="7"/>
  <c r="H153" i="7"/>
  <c r="L152" i="7"/>
  <c r="H152" i="7"/>
  <c r="L151" i="7"/>
  <c r="H151" i="7"/>
  <c r="L150" i="7"/>
  <c r="H150" i="7"/>
  <c r="L149" i="7"/>
  <c r="H149" i="7"/>
  <c r="L148" i="7"/>
  <c r="H148" i="7"/>
  <c r="L147" i="7"/>
  <c r="H147" i="7"/>
  <c r="L146" i="7"/>
  <c r="H146" i="7"/>
  <c r="L145" i="7"/>
  <c r="H145" i="7"/>
  <c r="L144" i="7"/>
  <c r="H144" i="7"/>
  <c r="L143" i="7"/>
  <c r="H143" i="7"/>
  <c r="L142" i="7"/>
  <c r="H142" i="7"/>
  <c r="L141" i="7"/>
  <c r="H141" i="7"/>
  <c r="L140" i="7"/>
  <c r="H140" i="7"/>
  <c r="L139" i="7"/>
  <c r="H139" i="7"/>
  <c r="L138" i="7"/>
  <c r="H138" i="7"/>
  <c r="L137" i="7"/>
  <c r="H137" i="7"/>
  <c r="L136" i="7"/>
  <c r="H136" i="7"/>
  <c r="L135" i="7"/>
  <c r="H135" i="7"/>
  <c r="L134" i="7"/>
  <c r="H134" i="7"/>
  <c r="L133" i="7"/>
  <c r="H133" i="7"/>
  <c r="L132" i="7"/>
  <c r="H132" i="7"/>
  <c r="L131" i="7"/>
  <c r="H131" i="7"/>
  <c r="L130" i="7"/>
  <c r="H130" i="7"/>
  <c r="L129" i="7"/>
  <c r="H129" i="7"/>
  <c r="L128" i="7"/>
  <c r="H128" i="7"/>
  <c r="L127" i="7"/>
  <c r="H127" i="7"/>
  <c r="H126" i="7"/>
  <c r="H125" i="7"/>
  <c r="L124" i="7"/>
  <c r="H124" i="7"/>
  <c r="L123" i="7"/>
  <c r="H123" i="7"/>
  <c r="H122" i="7"/>
  <c r="H121" i="7"/>
  <c r="H120" i="7"/>
  <c r="H119" i="7"/>
  <c r="H118" i="7"/>
  <c r="H117" i="7"/>
  <c r="H116" i="7"/>
  <c r="H115" i="7"/>
  <c r="H114" i="7"/>
  <c r="L113" i="7"/>
  <c r="H113" i="7"/>
  <c r="L112" i="7"/>
  <c r="H112" i="7"/>
  <c r="L111" i="7"/>
  <c r="H111" i="7"/>
  <c r="L110" i="7"/>
  <c r="H110" i="7"/>
  <c r="L109" i="7"/>
  <c r="H109" i="7"/>
  <c r="L108" i="7"/>
  <c r="H108" i="7"/>
  <c r="L107" i="7"/>
  <c r="H107" i="7"/>
  <c r="L106" i="7"/>
  <c r="H106" i="7"/>
  <c r="L105" i="7"/>
  <c r="H105" i="7"/>
  <c r="L104" i="7"/>
  <c r="H104" i="7"/>
  <c r="L103" i="7"/>
  <c r="H103" i="7"/>
  <c r="L102" i="7"/>
  <c r="H102" i="7"/>
  <c r="L101" i="7"/>
  <c r="L100" i="7"/>
  <c r="H100" i="7"/>
  <c r="L99" i="7"/>
  <c r="H99" i="7"/>
  <c r="L98" i="7"/>
  <c r="H98" i="7"/>
  <c r="L97" i="7"/>
  <c r="H97" i="7"/>
  <c r="L96" i="7"/>
  <c r="H96" i="7"/>
  <c r="L95" i="7"/>
  <c r="H95" i="7"/>
  <c r="L94" i="7"/>
  <c r="H94" i="7"/>
  <c r="L93" i="7"/>
  <c r="H93" i="7"/>
  <c r="L92" i="7"/>
  <c r="H92" i="7"/>
  <c r="L91" i="7"/>
  <c r="H91" i="7"/>
  <c r="L90" i="7"/>
  <c r="H90" i="7"/>
  <c r="L89" i="7"/>
  <c r="H89" i="7"/>
  <c r="L88" i="7"/>
  <c r="H88" i="7"/>
  <c r="L87" i="7"/>
  <c r="H87" i="7"/>
  <c r="L86" i="7"/>
  <c r="H86" i="7"/>
  <c r="L85" i="7"/>
  <c r="H85" i="7"/>
  <c r="L84" i="7"/>
  <c r="H84" i="7"/>
  <c r="L83" i="7"/>
  <c r="H83" i="7"/>
  <c r="L82" i="7"/>
  <c r="H82" i="7"/>
  <c r="L81" i="7"/>
  <c r="H81" i="7"/>
  <c r="L80" i="7"/>
  <c r="H80" i="7"/>
  <c r="L79" i="7"/>
  <c r="H79" i="7"/>
  <c r="L78" i="7"/>
  <c r="H78" i="7"/>
  <c r="L77" i="7"/>
  <c r="H77" i="7"/>
  <c r="L76" i="7"/>
  <c r="H76" i="7"/>
  <c r="L75" i="7"/>
  <c r="H75" i="7"/>
  <c r="L74" i="7"/>
  <c r="H74" i="7"/>
  <c r="L73" i="7"/>
  <c r="H73" i="7"/>
  <c r="L72" i="7"/>
  <c r="H72" i="7"/>
  <c r="L71" i="7"/>
  <c r="H71" i="7"/>
  <c r="L70" i="7"/>
  <c r="H70" i="7"/>
  <c r="L69" i="7"/>
  <c r="H69" i="7"/>
  <c r="L68" i="7"/>
  <c r="H68" i="7"/>
  <c r="L67" i="7"/>
  <c r="H67" i="7"/>
  <c r="L66" i="7"/>
  <c r="H66" i="7"/>
  <c r="L65" i="7"/>
  <c r="H65" i="7"/>
  <c r="L64" i="7"/>
  <c r="H64" i="7"/>
  <c r="L63" i="7"/>
  <c r="H63" i="7"/>
  <c r="L62" i="7"/>
  <c r="H62" i="7"/>
  <c r="L61" i="7"/>
  <c r="H61" i="7"/>
  <c r="L60" i="7"/>
  <c r="H60" i="7"/>
  <c r="L59" i="7"/>
  <c r="H59" i="7"/>
  <c r="H58" i="7"/>
  <c r="L57" i="7"/>
  <c r="H57" i="7"/>
  <c r="L56" i="7"/>
  <c r="H56" i="7"/>
  <c r="L55" i="7"/>
  <c r="H55" i="7"/>
  <c r="L54" i="7"/>
  <c r="H54" i="7"/>
  <c r="H53" i="7"/>
  <c r="L52" i="7"/>
  <c r="H52" i="7"/>
  <c r="L51" i="7"/>
  <c r="H51" i="7"/>
  <c r="L50" i="7"/>
  <c r="H50" i="7"/>
  <c r="L49" i="7"/>
  <c r="H49" i="7"/>
  <c r="L48" i="7"/>
  <c r="H48" i="7"/>
  <c r="L47" i="7"/>
  <c r="H47" i="7"/>
  <c r="L46" i="7"/>
  <c r="H46" i="7"/>
  <c r="L45" i="7"/>
  <c r="H45" i="7"/>
  <c r="L44" i="7"/>
  <c r="H44" i="7"/>
  <c r="L43" i="7"/>
  <c r="H43" i="7"/>
  <c r="L42" i="7"/>
  <c r="H42" i="7"/>
  <c r="L41" i="7"/>
  <c r="H41" i="7"/>
  <c r="L40" i="7"/>
  <c r="H40" i="7"/>
  <c r="L39" i="7"/>
  <c r="H39" i="7"/>
  <c r="L38" i="7"/>
  <c r="H38" i="7"/>
  <c r="L37" i="7"/>
  <c r="H37" i="7"/>
  <c r="L36" i="7"/>
  <c r="H36" i="7"/>
  <c r="L35" i="7"/>
  <c r="H35" i="7"/>
  <c r="H34" i="7"/>
  <c r="H33" i="7"/>
  <c r="H32" i="7"/>
  <c r="H31" i="7"/>
  <c r="L30" i="7"/>
  <c r="H30" i="7"/>
  <c r="L29" i="7"/>
  <c r="H29" i="7"/>
  <c r="L28" i="7"/>
  <c r="H28" i="7"/>
  <c r="L27" i="7"/>
  <c r="H27" i="7"/>
  <c r="L26" i="7"/>
  <c r="H26" i="7"/>
  <c r="L25" i="7"/>
  <c r="H25" i="7"/>
  <c r="L24" i="7"/>
  <c r="H24" i="7"/>
  <c r="L23" i="7"/>
  <c r="H23" i="7"/>
  <c r="L22" i="7"/>
  <c r="H22" i="7"/>
  <c r="L21" i="7"/>
  <c r="H21" i="7"/>
  <c r="L20" i="7"/>
  <c r="H20" i="7"/>
  <c r="L19" i="7"/>
  <c r="H19" i="7"/>
  <c r="L18" i="7"/>
  <c r="H18" i="7"/>
  <c r="L17" i="7"/>
  <c r="H17" i="7"/>
  <c r="L16" i="7"/>
  <c r="H16" i="7"/>
  <c r="L15" i="7"/>
  <c r="H15" i="7"/>
  <c r="L14" i="7"/>
  <c r="H14" i="7"/>
  <c r="L13" i="7"/>
  <c r="H13" i="7"/>
  <c r="L12" i="7"/>
  <c r="H12" i="7"/>
  <c r="L11" i="7"/>
  <c r="H11" i="7"/>
  <c r="L10" i="7"/>
  <c r="H10" i="7"/>
  <c r="L9" i="7"/>
  <c r="H9" i="7"/>
  <c r="L8" i="7"/>
  <c r="H8" i="7"/>
  <c r="L7" i="7"/>
  <c r="H7" i="7"/>
  <c r="L6" i="7"/>
  <c r="H6" i="7"/>
  <c r="D25" i="6" l="1"/>
  <c r="D59" i="6" l="1"/>
  <c r="D58" i="6"/>
  <c r="D57" i="6"/>
  <c r="D56" i="6"/>
  <c r="D55" i="6"/>
  <c r="D54" i="6"/>
  <c r="D53" i="6"/>
  <c r="D52" i="6"/>
  <c r="D51" i="6"/>
  <c r="D50" i="6"/>
  <c r="D49" i="6"/>
  <c r="D48" i="6"/>
  <c r="D47" i="6"/>
  <c r="D46" i="6"/>
  <c r="D45" i="6"/>
  <c r="D44" i="6"/>
  <c r="D43" i="6"/>
  <c r="D42" i="6"/>
  <c r="D41" i="6"/>
  <c r="D40" i="6"/>
  <c r="D39" i="6"/>
  <c r="D38" i="6"/>
  <c r="D37" i="6"/>
  <c r="D36" i="6"/>
  <c r="D35" i="6"/>
  <c r="D34" i="6"/>
  <c r="D33" i="6"/>
  <c r="D32" i="6"/>
  <c r="D31" i="6"/>
  <c r="D30" i="6"/>
  <c r="D29" i="6"/>
  <c r="D27" i="6"/>
  <c r="D26" i="6"/>
  <c r="D24" i="6"/>
  <c r="D23" i="6"/>
  <c r="D22" i="6"/>
  <c r="D20" i="6"/>
  <c r="D19" i="6"/>
  <c r="D18" i="6"/>
  <c r="D17" i="6"/>
  <c r="D16" i="6"/>
  <c r="D15" i="6"/>
  <c r="D14" i="6"/>
  <c r="D13" i="6"/>
  <c r="D12" i="6"/>
  <c r="D11" i="6"/>
  <c r="D10" i="6"/>
  <c r="D9" i="6"/>
  <c r="D8" i="6"/>
  <c r="D7" i="6"/>
  <c r="D6" i="6"/>
  <c r="D5" i="6"/>
  <c r="D4" i="6"/>
  <c r="D3" i="6"/>
  <c r="D2" i="6"/>
  <c r="O25" i="1" l="1"/>
  <c r="O24" i="1"/>
  <c r="O23" i="1"/>
  <c r="O22" i="1"/>
  <c r="O21" i="1"/>
  <c r="O20" i="1"/>
  <c r="O19" i="1"/>
  <c r="H25" i="1"/>
  <c r="H24" i="1"/>
  <c r="H23" i="1"/>
  <c r="H22" i="1"/>
  <c r="H21" i="1"/>
  <c r="H20" i="1"/>
  <c r="H19" i="1"/>
  <c r="C12" i="3" l="1"/>
  <c r="C13" i="3"/>
  <c r="D73" i="6" l="1"/>
  <c r="K25" i="1" l="1"/>
  <c r="K23" i="1"/>
  <c r="K22" i="1"/>
  <c r="K20" i="1" l="1"/>
  <c r="K21" i="1"/>
  <c r="K24" i="1"/>
  <c r="C15" i="3" l="1"/>
  <c r="C14" i="3"/>
  <c r="D6" i="3"/>
  <c r="D5" i="3"/>
  <c r="D4" i="3"/>
  <c r="D3" i="3"/>
  <c r="C6" i="3"/>
  <c r="C5" i="3"/>
  <c r="C4" i="3"/>
  <c r="C3" i="3"/>
  <c r="K19" i="1" l="1"/>
  <c r="E6" i="3" l="1"/>
  <c r="C7" i="3"/>
  <c r="D8" i="3"/>
  <c r="E5" i="3"/>
  <c r="E3" i="3"/>
  <c r="C8" i="3"/>
  <c r="D7" i="3"/>
  <c r="E4" i="3"/>
  <c r="D9" i="3" l="1"/>
  <c r="E8" i="3"/>
  <c r="C9" i="3"/>
  <c r="E7" i="3"/>
  <c r="E9"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tc={F8B3473E-1D08-4DC0-B648-05AEC490E959}</author>
  </authors>
  <commentList>
    <comment ref="A5" authorId="0" shapeId="0" xr:uid="{F8B3473E-1D08-4DC0-B648-05AEC490E959}">
      <text>
        <t>[Threaded comment]
Your version of Excel allows you to read this threaded comment; however, any edits to it will get removed if the file is opened in a newer version of Excel. Learn more: https://go.microsoft.com/fwlink/?linkid=870924
Comment:
    Need to add Acute and Chronic eg Asbestos Acute 1 +2  = 2 Chronic  4 + 4 =7</t>
      </text>
    </comment>
  </commentList>
</comments>
</file>

<file path=xl/sharedStrings.xml><?xml version="1.0" encoding="utf-8"?>
<sst xmlns="http://schemas.openxmlformats.org/spreadsheetml/2006/main" count="3014" uniqueCount="1602">
  <si>
    <t>TITLE:</t>
  </si>
  <si>
    <t>DOCUMENT NUMBER:</t>
  </si>
  <si>
    <t xml:space="preserve">HAZARD SPECIFIC RISK ASSESSMENT </t>
  </si>
  <si>
    <r>
      <rPr>
        <sz val="11"/>
        <color theme="1"/>
        <rFont val="Montserrat SemiBold"/>
      </rPr>
      <t>FC-GL-EHS-MAN-0501-F3</t>
    </r>
    <r>
      <rPr>
        <sz val="10"/>
        <color theme="1"/>
        <rFont val="Montserrat SemiBold"/>
      </rPr>
      <t xml:space="preserve"> </t>
    </r>
    <r>
      <rPr>
        <sz val="8"/>
        <color theme="1"/>
        <rFont val="Montserrat SemiBold"/>
      </rPr>
      <t>(Tab Q.1)</t>
    </r>
  </si>
  <si>
    <t>REGION:</t>
  </si>
  <si>
    <t>ISSUE:</t>
  </si>
  <si>
    <t>DATE:</t>
  </si>
  <si>
    <t>PAGE:</t>
  </si>
  <si>
    <t>GLOBAL</t>
  </si>
  <si>
    <t>1 of 1</t>
  </si>
  <si>
    <t>WORK ACTIVITY:</t>
  </si>
  <si>
    <t>PROCEDURE REFERENCE NUMBER:</t>
  </si>
  <si>
    <t>Iss / Rev</t>
  </si>
  <si>
    <t>TRA No.</t>
  </si>
  <si>
    <t>Iss / Rev:</t>
  </si>
  <si>
    <t>Date:</t>
  </si>
  <si>
    <t>Fatigue (Mental and physical tiredness)</t>
  </si>
  <si>
    <t>IH-010</t>
  </si>
  <si>
    <t>PERSONNEL IMPACTED (Tick all applicable)</t>
  </si>
  <si>
    <t xml:space="preserve">                           </t>
  </si>
  <si>
    <t>Severity</t>
  </si>
  <si>
    <t>Frequency</t>
  </si>
  <si>
    <t>SEVERITY</t>
  </si>
  <si>
    <t>Risk Rating</t>
  </si>
  <si>
    <t>Strategy</t>
  </si>
  <si>
    <t>FREQUENCY</t>
  </si>
  <si>
    <t>S1</t>
  </si>
  <si>
    <t>S2</t>
  </si>
  <si>
    <t>S3</t>
  </si>
  <si>
    <t>S4</t>
  </si>
  <si>
    <t>S5</t>
  </si>
  <si>
    <t>High</t>
  </si>
  <si>
    <t>Intervention - (Critical Step)
PPE cannot be assigned as a Primary Defense</t>
  </si>
  <si>
    <t>Major</t>
  </si>
  <si>
    <t>F5</t>
  </si>
  <si>
    <t>Monthly</t>
  </si>
  <si>
    <t>Severe</t>
  </si>
  <si>
    <t>F4</t>
  </si>
  <si>
    <t>Quarterly</t>
  </si>
  <si>
    <t>Medium</t>
  </si>
  <si>
    <t xml:space="preserve">Control
Do not proceed - additional defenses required
</t>
  </si>
  <si>
    <t>Significant</t>
  </si>
  <si>
    <t>F3</t>
  </si>
  <si>
    <t>Annually</t>
  </si>
  <si>
    <t>Moderate</t>
  </si>
  <si>
    <t>F2</t>
  </si>
  <si>
    <t>Bi-Annually</t>
  </si>
  <si>
    <t>Low</t>
  </si>
  <si>
    <t>Monitor
Maintain Defenses</t>
  </si>
  <si>
    <t>Minor</t>
  </si>
  <si>
    <t>F1</t>
  </si>
  <si>
    <t>&gt; Two years</t>
  </si>
  <si>
    <t>*Risk = (Severity + Frequency) -1</t>
  </si>
  <si>
    <t>TASK STEPS</t>
  </si>
  <si>
    <t>HAZARDS:</t>
  </si>
  <si>
    <t>Acute Risk (AR)</t>
  </si>
  <si>
    <t>Chronic Risk (CR)</t>
  </si>
  <si>
    <t>DEFENCES:</t>
  </si>
  <si>
    <t>Residual Risk</t>
  </si>
  <si>
    <t>COMMENTS:</t>
  </si>
  <si>
    <t>S</t>
  </si>
  <si>
    <t>F</t>
  </si>
  <si>
    <t>AR*</t>
  </si>
  <si>
    <t>CR*</t>
  </si>
  <si>
    <t>RR*</t>
  </si>
  <si>
    <r>
      <rPr>
        <b/>
        <sz val="7"/>
        <color theme="1"/>
        <rFont val="Montserrat"/>
      </rPr>
      <t>Before Work</t>
    </r>
    <r>
      <rPr>
        <sz val="7"/>
        <color theme="1"/>
        <rFont val="Montserrat"/>
      </rPr>
      <t xml:space="preserve"> Engineered  Defence - Eliminated / Substitute  </t>
    </r>
    <r>
      <rPr>
        <b/>
        <sz val="7"/>
        <color theme="1"/>
        <rFont val="Montserrat"/>
      </rPr>
      <t>Planning</t>
    </r>
  </si>
  <si>
    <t xml:space="preserve">Fatigue </t>
  </si>
  <si>
    <t>Work Schedules 
Rest &amp; Recovery</t>
  </si>
  <si>
    <r>
      <rPr>
        <b/>
        <sz val="7"/>
        <color theme="1"/>
        <rFont val="Montserrat"/>
      </rPr>
      <t>o Plan work scope &amp; resource team</t>
    </r>
    <r>
      <rPr>
        <sz val="7"/>
        <color theme="1"/>
        <rFont val="Montserrat"/>
      </rPr>
      <t xml:space="preserve"> so the work/outage can be compliance with FC Fatigue Management Policy  
</t>
    </r>
    <r>
      <rPr>
        <b/>
        <sz val="7"/>
        <color theme="1"/>
        <rFont val="Montserrat"/>
      </rPr>
      <t>o Ensure work scope can be completed in 10-12 Hours workday(s) including overtime</t>
    </r>
    <r>
      <rPr>
        <sz val="7"/>
        <color theme="1"/>
        <rFont val="Montserrat"/>
      </rPr>
      <t xml:space="preserve">  with adequate rest day(s), shift rotation, Mobilization &amp; De-mob considered). 
o  Planned and anticipated so work can be completed by workforce without placing excessive demands on them.</t>
    </r>
  </si>
  <si>
    <r>
      <rPr>
        <b/>
        <sz val="7"/>
        <color theme="1"/>
        <rFont val="Montserrat"/>
      </rPr>
      <t xml:space="preserve">During scope </t>
    </r>
    <r>
      <rPr>
        <sz val="7"/>
        <color theme="1"/>
        <rFont val="Montserrat"/>
      </rPr>
      <t xml:space="preserve"> Admin - Managerial Intervention </t>
    </r>
    <r>
      <rPr>
        <b/>
        <sz val="7"/>
        <color theme="1"/>
        <rFont val="Montserrat"/>
      </rPr>
      <t xml:space="preserve">Planning </t>
    </r>
  </si>
  <si>
    <t>Management (Hours worked reviewed)
Risk Assessment
Teamwork (Multi-person)
Alternate Work Methods</t>
  </si>
  <si>
    <r>
      <rPr>
        <b/>
        <i/>
        <sz val="7"/>
        <color theme="1"/>
        <rFont val="Montserrat"/>
      </rPr>
      <t xml:space="preserve">Resource/Service Managers: 
</t>
    </r>
    <r>
      <rPr>
        <b/>
        <sz val="7"/>
        <color theme="1"/>
        <rFont val="Montserrat"/>
      </rPr>
      <t xml:space="preserve">o Review hours worked, by individuals and/or team </t>
    </r>
    <r>
      <rPr>
        <sz val="7"/>
        <color theme="1"/>
        <rFont val="Montserrat"/>
      </rPr>
      <t xml:space="preserve">via reporting tool i.e. Thought spot                                                                 </t>
    </r>
    <r>
      <rPr>
        <b/>
        <sz val="7"/>
        <color theme="1"/>
        <rFont val="Montserrat"/>
      </rPr>
      <t xml:space="preserve">                                                   o Review reports for current and potential Fatigue "Flag" 
o IF Fatigue Policy exceedance HAS occurred/or is about happen,  intervention is required;
o Conversation with Site Lead (and worker?) </t>
    </r>
    <r>
      <rPr>
        <sz val="7"/>
        <color theme="1"/>
        <rFont val="Montserrat"/>
      </rPr>
      <t>Discuss Look ahead, determine to understand circumstances, one-off, or if potential for ongoing issue.</t>
    </r>
    <r>
      <rPr>
        <b/>
        <sz val="7"/>
        <color theme="1"/>
        <rFont val="Montserrat"/>
      </rPr>
      <t xml:space="preserve">
o Determine Site base actions and controls needed? </t>
    </r>
  </si>
  <si>
    <r>
      <rPr>
        <b/>
        <sz val="7"/>
        <color theme="1"/>
        <rFont val="Montserrat"/>
      </rPr>
      <t>During Work</t>
    </r>
    <r>
      <rPr>
        <sz val="7"/>
        <color theme="1"/>
        <rFont val="Montserrat"/>
      </rPr>
      <t xml:space="preserve"> Engineered Defence  </t>
    </r>
    <r>
      <rPr>
        <b/>
        <sz val="7"/>
        <color theme="1"/>
        <rFont val="Montserrat"/>
      </rPr>
      <t>Planning - Site Based Intervention</t>
    </r>
  </si>
  <si>
    <t>Tool Box Talks (or similar)
Work Instruction
Time Limitation/Freq Breaks
Supervisory Oversight</t>
  </si>
  <si>
    <r>
      <rPr>
        <b/>
        <sz val="7"/>
        <color theme="1"/>
        <rFont val="Montserrat"/>
      </rPr>
      <t>Intervention(site based):</t>
    </r>
    <r>
      <rPr>
        <sz val="7"/>
        <color theme="1"/>
        <rFont val="Montserrat"/>
      </rPr>
      <t xml:space="preserve"> Additional actions &amp; controls when work hours exceeded (or about to potentially happen)  
</t>
    </r>
    <r>
      <rPr>
        <b/>
        <sz val="7"/>
        <color theme="1"/>
        <rFont val="Montserrat"/>
      </rPr>
      <t>o</t>
    </r>
    <r>
      <rPr>
        <b/>
        <sz val="7"/>
        <color theme="4"/>
        <rFont val="Montserrat"/>
      </rPr>
      <t xml:space="preserve"> SWAT</t>
    </r>
    <r>
      <rPr>
        <b/>
        <sz val="7"/>
        <color theme="1"/>
        <rFont val="Montserrat"/>
      </rPr>
      <t xml:space="preserve"> /Toolbox Talks/Tailboards</t>
    </r>
    <r>
      <rPr>
        <sz val="7"/>
        <color theme="1"/>
        <rFont val="Montserrat"/>
      </rPr>
      <t xml:space="preserve"> on Fatigue Risk and Controls required
</t>
    </r>
    <r>
      <rPr>
        <b/>
        <sz val="7"/>
        <color theme="1"/>
        <rFont val="Montserrat"/>
      </rPr>
      <t xml:space="preserve">o Longer breaks and/or additional breaks, for workforce    </t>
    </r>
    <r>
      <rPr>
        <sz val="7"/>
        <color theme="1"/>
        <rFont val="Montserrat"/>
      </rPr>
      <t xml:space="preserve">                                                                   </t>
    </r>
    <r>
      <rPr>
        <b/>
        <sz val="7"/>
        <color theme="1"/>
        <rFont val="Montserrat"/>
      </rPr>
      <t>o Increased supervision</t>
    </r>
    <r>
      <rPr>
        <sz val="7"/>
        <color theme="1"/>
        <rFont val="Montserrat"/>
      </rPr>
      <t xml:space="preserve"> and site EHS support  
</t>
    </r>
    <r>
      <rPr>
        <b/>
        <sz val="7"/>
        <color theme="1"/>
        <rFont val="Montserrat"/>
      </rPr>
      <t>o Higher risk work: Safety critical, mentally or physically demanding limited</t>
    </r>
    <r>
      <rPr>
        <sz val="7"/>
        <color theme="1"/>
        <rFont val="Montserrat"/>
      </rPr>
      <t xml:space="preserve"> for workers conducting extended hours or shifts, e.g. requiring  machinery operations, driving, commissioning, lone working, using power tool use, working at heights shall be reviews limited with increased supervision.                                                                                                                                                        </t>
    </r>
    <r>
      <rPr>
        <b/>
        <sz val="7"/>
        <color theme="1"/>
        <rFont val="Montserrat"/>
      </rPr>
      <t>o Additional food and water</t>
    </r>
    <r>
      <rPr>
        <sz val="7"/>
        <color theme="1"/>
        <rFont val="Montserrat"/>
      </rPr>
      <t xml:space="preserve"> made available  
</t>
    </r>
    <r>
      <rPr>
        <b/>
        <sz val="7"/>
        <color theme="1"/>
        <rFont val="Montserrat"/>
      </rPr>
      <t>o Alternative  travel</t>
    </r>
    <r>
      <rPr>
        <sz val="7"/>
        <color theme="1"/>
        <rFont val="Montserrat"/>
      </rPr>
      <t xml:space="preserve"> between site and hotels etc (buses, taxis, shuttle service, Pick-up drop off service) . </t>
    </r>
    <r>
      <rPr>
        <b/>
        <sz val="7"/>
        <color rgb="FF0070C0"/>
        <rFont val="Montserrat"/>
      </rPr>
      <t xml:space="preserve">Always adhere to GE Vernova Driving Life Saving Rules and Standards </t>
    </r>
    <r>
      <rPr>
        <sz val="7"/>
        <color rgb="FF0070C0"/>
        <rFont val="Montserrat"/>
      </rPr>
      <t xml:space="preserve">
</t>
    </r>
    <r>
      <rPr>
        <sz val="7"/>
        <color theme="1"/>
        <rFont val="Montserrat"/>
      </rPr>
      <t xml:space="preserve"> </t>
    </r>
    <r>
      <rPr>
        <b/>
        <sz val="7"/>
        <color theme="1"/>
        <rFont val="Montserrat"/>
      </rPr>
      <t xml:space="preserve">o Additional control measures shall be agreed between the worker and supervisor                                       </t>
    </r>
  </si>
  <si>
    <r>
      <rPr>
        <b/>
        <sz val="7"/>
        <color theme="1"/>
        <rFont val="Montserrat"/>
      </rPr>
      <t>Before Work</t>
    </r>
    <r>
      <rPr>
        <sz val="7"/>
        <color theme="1"/>
        <rFont val="Montserrat"/>
      </rPr>
      <t xml:space="preserve"> Admin Defence  </t>
    </r>
    <r>
      <rPr>
        <b/>
        <sz val="7"/>
        <color theme="1"/>
        <rFont val="Montserrat"/>
      </rPr>
      <t>Planning</t>
    </r>
  </si>
  <si>
    <t>Time Limitation/Freq Breaks
Alternate Work Methods
Job Rotation</t>
  </si>
  <si>
    <r>
      <rPr>
        <b/>
        <sz val="7"/>
        <color theme="1"/>
        <rFont val="Montserrat"/>
      </rPr>
      <t xml:space="preserve">o Anticipate and redesign the job to limit periods of excessive mental or physical demands.   
</t>
    </r>
    <r>
      <rPr>
        <sz val="7"/>
        <color theme="1"/>
        <rFont val="Montserrat"/>
      </rPr>
      <t xml:space="preserve"> </t>
    </r>
    <r>
      <rPr>
        <b/>
        <sz val="7"/>
        <color theme="1"/>
        <rFont val="Montserrat"/>
      </rPr>
      <t>o Introduce job rotation</t>
    </r>
    <r>
      <rPr>
        <sz val="7"/>
        <color theme="1"/>
        <rFont val="Montserrat"/>
      </rPr>
      <t xml:space="preserve"> to limit a build-up of mental and physical fatigue.
</t>
    </r>
    <r>
      <rPr>
        <b/>
        <sz val="7"/>
        <color theme="1"/>
        <rFont val="Montserrat"/>
      </rPr>
      <t xml:space="preserve">o Ensure rosters reflect an appropriate mix of workers with different skills.    
o Schedule safety critical work outside low body clock periods </t>
    </r>
    <r>
      <rPr>
        <sz val="7"/>
        <color theme="1"/>
        <rFont val="Montserrat"/>
      </rPr>
      <t xml:space="preserve"> e.g.; not between 2am &amp;  6am or 2pm &amp; 4pm).</t>
    </r>
  </si>
  <si>
    <r>
      <rPr>
        <b/>
        <sz val="7"/>
        <color theme="1"/>
        <rFont val="Montserrat"/>
      </rPr>
      <t>Before Work</t>
    </r>
    <r>
      <rPr>
        <sz val="7"/>
        <color theme="1"/>
        <rFont val="Montserrat"/>
      </rPr>
      <t xml:space="preserve"> Engineered Defence - Substitution  </t>
    </r>
  </si>
  <si>
    <t>Training/Competency</t>
  </si>
  <si>
    <r>
      <rPr>
        <b/>
        <sz val="7"/>
        <color theme="1"/>
        <rFont val="Montserrat"/>
      </rPr>
      <t>o Workers awareness training (every 2 years) on fatigue management, including as a minimum the following topics:
o Fatigue contributing factors, warning signs.</t>
    </r>
    <r>
      <rPr>
        <sz val="7"/>
        <color theme="1"/>
        <rFont val="Montserrat"/>
      </rPr>
      <t xml:space="preserve">
</t>
    </r>
    <r>
      <rPr>
        <b/>
        <sz val="7"/>
        <color theme="1"/>
        <rFont val="Montserrat"/>
      </rPr>
      <t>o Control measures, shared responsibility for managing fatigue</t>
    </r>
    <r>
      <rPr>
        <sz val="7"/>
        <color theme="1"/>
        <rFont val="Montserrat"/>
      </rPr>
      <t xml:space="preserve"> including adequate reset for workers between shift and between outages 
</t>
    </r>
    <r>
      <rPr>
        <b/>
        <sz val="7"/>
        <color theme="1"/>
        <rFont val="Montserrat"/>
      </rPr>
      <t>o Reporting</t>
    </r>
    <r>
      <rPr>
        <sz val="7"/>
        <color theme="1"/>
        <rFont val="Montserrat"/>
      </rPr>
      <t xml:space="preserve"> fatigue concerns, near misses and incidents.
</t>
    </r>
    <r>
      <rPr>
        <b/>
        <i/>
        <sz val="7"/>
        <color theme="1"/>
        <rFont val="Montserrat"/>
      </rPr>
      <t>o Fatigue Awareness training available online</t>
    </r>
    <r>
      <rPr>
        <i/>
        <sz val="7"/>
        <color theme="1"/>
        <rFont val="Montserrat"/>
      </rPr>
      <t xml:space="preserve"> in GE-EHS-330  Training is tracked in the FieldCore LMS.  </t>
    </r>
  </si>
  <si>
    <r>
      <rPr>
        <b/>
        <sz val="7"/>
        <color theme="1"/>
        <rFont val="Montserrat"/>
      </rPr>
      <t>During Work</t>
    </r>
    <r>
      <rPr>
        <sz val="7"/>
        <color theme="1"/>
        <rFont val="Montserrat"/>
      </rPr>
      <t xml:space="preserve"> Oversight  Defence </t>
    </r>
  </si>
  <si>
    <t>Supervisory Oversight
Risk Assessment</t>
  </si>
  <si>
    <r>
      <rPr>
        <b/>
        <sz val="7"/>
        <color theme="1"/>
        <rFont val="Montserrat"/>
      </rPr>
      <t>Supervision</t>
    </r>
    <r>
      <rPr>
        <sz val="7"/>
        <color theme="1"/>
        <rFont val="Montserrat"/>
      </rPr>
      <t xml:space="preserve">
</t>
    </r>
    <r>
      <rPr>
        <b/>
        <sz val="7"/>
        <color theme="1"/>
        <rFont val="Montserrat"/>
      </rPr>
      <t>o Additional control measures shall be agreed between the site managers &amp; worker force                                                                             
o Additional physical supervision</t>
    </r>
    <r>
      <rPr>
        <sz val="7"/>
        <color theme="1"/>
        <rFont val="Montserrat"/>
      </rPr>
      <t xml:space="preserve"> and EHS should be considered if </t>
    </r>
    <r>
      <rPr>
        <b/>
        <sz val="7"/>
        <color theme="1"/>
        <rFont val="Montserrat"/>
      </rPr>
      <t>longer shift are occurring. 
 o Supervisors shall be aware of employee’s fatigue levels</t>
    </r>
    <r>
      <rPr>
        <sz val="7"/>
        <color theme="1"/>
        <rFont val="Montserrat"/>
      </rPr>
      <t xml:space="preserve"> and shall respond by increase rest breaks or limiting high risk work activities as needed.   </t>
    </r>
  </si>
  <si>
    <r>
      <rPr>
        <b/>
        <sz val="7"/>
        <color theme="1"/>
        <rFont val="Montserrat"/>
      </rPr>
      <t>During Work</t>
    </r>
    <r>
      <rPr>
        <sz val="7"/>
        <color theme="1"/>
        <rFont val="Montserrat"/>
      </rPr>
      <t xml:space="preserve"> Cultural Defence </t>
    </r>
  </si>
  <si>
    <t>Physical Fitness Program
Hydration Program
Job Rotation
Alternate Work Methods
Peer checking</t>
  </si>
  <si>
    <r>
      <rPr>
        <b/>
        <sz val="7"/>
        <color theme="1"/>
        <rFont val="Montserrat"/>
      </rPr>
      <t>o Environment provided for reporting affects of fatigue 
o Workers  have the right to exercise Stop Work Authority</t>
    </r>
    <r>
      <rPr>
        <sz val="7"/>
        <color theme="1"/>
        <rFont val="Montserrat"/>
      </rPr>
      <t xml:space="preserve"> if they feel that it is not safe for them or others to continue to perform a work task                                                                                                                                                </t>
    </r>
    <r>
      <rPr>
        <b/>
        <sz val="7"/>
        <color theme="1"/>
        <rFont val="Montserrat"/>
      </rPr>
      <t>o Peer checking,</t>
    </r>
    <r>
      <rPr>
        <sz val="7"/>
        <color theme="1"/>
        <rFont val="Montserrat"/>
      </rPr>
      <t xml:space="preserve"> of colleagues to look out for fatigued/tired teammates. </t>
    </r>
  </si>
  <si>
    <t xml:space="preserve"> </t>
  </si>
  <si>
    <t>EQUIPMENT /MATERIAL / PPE REQUIRED</t>
  </si>
  <si>
    <r>
      <t xml:space="preserve">Comply with GE Vernova Personal Protective Equipment (PPE) FC-GL-EHS-SAF-0711, PPE Matrix requirements 
</t>
    </r>
    <r>
      <rPr>
        <b/>
        <sz val="7"/>
        <rFont val="Montserrat"/>
      </rPr>
      <t>Standard PPE:</t>
    </r>
    <r>
      <rPr>
        <sz val="7"/>
        <rFont val="Montserrat"/>
      </rPr>
      <t xml:space="preserve"> Protective Clothing (Natural Fabrics, Non-Synthetic, Anti-Static: ISO 1149-5 , Flame Retardant: ISO 11612: A1-B1-C1-E1-F1, Arc Flash: IEC 61482: APC 1) , Hard Hat (EN 397 / ANSI Z89.1 / AS/NZS 1801), Cut Resistant Gloves ( EN388 / AS/NZS 2161: Abrasion - 3, Cut 3 (Coupe), Tear - 4)  Safety Glasses (EN 166-1F / ANSI Z87.1 / AS/NZS 1336 / AS/NZS 1337), Safety Boots (ISO 20345, Cat II, S3).</t>
    </r>
  </si>
  <si>
    <t>ASSESSED BY:</t>
  </si>
  <si>
    <t xml:space="preserve">SIGNATURE: Ross Conway </t>
  </si>
  <si>
    <t>PRINT NAME: Ross Conway</t>
  </si>
  <si>
    <t xml:space="preserve">DATE: </t>
  </si>
  <si>
    <t>REVIEWED &amp; APPROVED BY</t>
  </si>
  <si>
    <t xml:space="preserve">SIGNATURE: Mohamed Nsaser </t>
  </si>
  <si>
    <t>PRINT NAME: Mohamed Naser</t>
  </si>
  <si>
    <t>GE Event Level Definitions</t>
  </si>
  <si>
    <t xml:space="preserve">        Severity
Frequency</t>
  </si>
  <si>
    <t>Minor 
(Level D)</t>
  </si>
  <si>
    <t>Ssignificant
(Level C)</t>
  </si>
  <si>
    <t>Severe
(Level B)</t>
  </si>
  <si>
    <t>Major
(Level A)</t>
  </si>
  <si>
    <t>Risk Rating &amp; Strategy</t>
  </si>
  <si>
    <t>Action Required
-  Risk Register</t>
  </si>
  <si>
    <t>Action Required
- Task Risk Assessment</t>
  </si>
  <si>
    <r>
      <t xml:space="preserve">S1 </t>
    </r>
    <r>
      <rPr>
        <sz val="11"/>
        <color theme="1"/>
        <rFont val="Calibri"/>
        <family val="2"/>
        <scheme val="minor"/>
      </rPr>
      <t>Minor</t>
    </r>
  </si>
  <si>
    <r>
      <t xml:space="preserve">S2 </t>
    </r>
    <r>
      <rPr>
        <sz val="11"/>
        <color theme="1"/>
        <rFont val="Calibri"/>
        <family val="2"/>
        <scheme val="minor"/>
      </rPr>
      <t>Moderate</t>
    </r>
  </si>
  <si>
    <r>
      <t xml:space="preserve">S3 </t>
    </r>
    <r>
      <rPr>
        <sz val="11"/>
        <color theme="1"/>
        <rFont val="Calibri"/>
        <family val="2"/>
        <scheme val="minor"/>
      </rPr>
      <t>Significant</t>
    </r>
  </si>
  <si>
    <r>
      <t xml:space="preserve">S4 </t>
    </r>
    <r>
      <rPr>
        <sz val="11"/>
        <color theme="1"/>
        <rFont val="Calibri"/>
        <family val="2"/>
        <scheme val="minor"/>
      </rPr>
      <t>Severe</t>
    </r>
  </si>
  <si>
    <r>
      <t xml:space="preserve">S5 </t>
    </r>
    <r>
      <rPr>
        <sz val="11"/>
        <color theme="1"/>
        <rFont val="Calibri"/>
        <family val="2"/>
        <scheme val="minor"/>
      </rPr>
      <t>Major</t>
    </r>
  </si>
  <si>
    <t>1-3</t>
  </si>
  <si>
    <t>Low                      (Supervisory Strategy)</t>
  </si>
  <si>
    <r>
      <rPr>
        <b/>
        <sz val="11"/>
        <color theme="1"/>
        <rFont val="Calibri"/>
        <family val="2"/>
        <scheme val="minor"/>
      </rPr>
      <t xml:space="preserve">Accept Risk </t>
    </r>
    <r>
      <rPr>
        <sz val="11"/>
        <rFont val="Calibri"/>
        <family val="2"/>
        <scheme val="minor"/>
      </rPr>
      <t xml:space="preserve">                                                      
Manage and maintain defenses and procedures</t>
    </r>
  </si>
  <si>
    <r>
      <rPr>
        <b/>
        <sz val="11"/>
        <color theme="1"/>
        <rFont val="Calibri"/>
        <family val="2"/>
        <scheme val="minor"/>
      </rPr>
      <t xml:space="preserve">Accept Risk </t>
    </r>
    <r>
      <rPr>
        <sz val="11"/>
        <rFont val="Calibri"/>
        <family val="2"/>
        <scheme val="minor"/>
      </rPr>
      <t xml:space="preserve">                                                                    
Manage and maintain defenses and procedures</t>
    </r>
  </si>
  <si>
    <r>
      <rPr>
        <b/>
        <sz val="12"/>
        <color theme="1"/>
        <rFont val="Calibri"/>
        <family val="2"/>
        <scheme val="minor"/>
      </rPr>
      <t xml:space="preserve">            F5</t>
    </r>
    <r>
      <rPr>
        <b/>
        <sz val="11"/>
        <color theme="1"/>
        <rFont val="Calibri"/>
        <family val="2"/>
        <scheme val="minor"/>
      </rPr>
      <t xml:space="preserve">                            </t>
    </r>
    <r>
      <rPr>
        <sz val="11"/>
        <color theme="1"/>
        <rFont val="Calibri"/>
        <family val="2"/>
        <scheme val="minor"/>
      </rPr>
      <t>Monthly</t>
    </r>
  </si>
  <si>
    <t>4-5</t>
  </si>
  <si>
    <t>Medium                (Control Strategy)</t>
  </si>
  <si>
    <r>
      <rPr>
        <b/>
        <sz val="11"/>
        <color theme="1"/>
        <rFont val="Calibri"/>
        <family val="2"/>
        <scheme val="minor"/>
      </rPr>
      <t>HQ Action Required</t>
    </r>
    <r>
      <rPr>
        <sz val="11"/>
        <rFont val="Calibri"/>
        <family val="2"/>
        <scheme val="minor"/>
      </rPr>
      <t xml:space="preserve">                                
SMART actions developed to reduce risk level</t>
    </r>
  </si>
  <si>
    <r>
      <rPr>
        <b/>
        <sz val="11"/>
        <color theme="1"/>
        <rFont val="Calibri"/>
        <family val="2"/>
        <scheme val="minor"/>
      </rPr>
      <t xml:space="preserve"> STOP! Action Required</t>
    </r>
    <r>
      <rPr>
        <sz val="11"/>
        <rFont val="Calibri"/>
        <family val="2"/>
        <scheme val="minor"/>
      </rPr>
      <t xml:space="preserve">                              
Additional defenses are required to reduce the risk to an acceptable low level</t>
    </r>
  </si>
  <si>
    <r>
      <rPr>
        <b/>
        <sz val="12"/>
        <color theme="1"/>
        <rFont val="Calibri"/>
        <family val="2"/>
        <scheme val="minor"/>
      </rPr>
      <t xml:space="preserve">            F4    </t>
    </r>
    <r>
      <rPr>
        <b/>
        <sz val="11"/>
        <color theme="1"/>
        <rFont val="Calibri"/>
        <family val="2"/>
        <scheme val="minor"/>
      </rPr>
      <t xml:space="preserve">                         </t>
    </r>
    <r>
      <rPr>
        <sz val="11"/>
        <color theme="1"/>
        <rFont val="Calibri"/>
        <family val="2"/>
        <scheme val="minor"/>
      </rPr>
      <t>Quarterly</t>
    </r>
  </si>
  <si>
    <t>&gt;5</t>
  </si>
  <si>
    <t>High
(Critical Step)*    (Intervention Strategy)</t>
  </si>
  <si>
    <r>
      <rPr>
        <b/>
        <sz val="11"/>
        <color theme="1"/>
        <rFont val="Calibri"/>
        <family val="2"/>
        <scheme val="minor"/>
      </rPr>
      <t xml:space="preserve">HQ Action Required       </t>
    </r>
    <r>
      <rPr>
        <sz val="11"/>
        <rFont val="Calibri"/>
        <family val="2"/>
        <scheme val="minor"/>
      </rPr>
      <t xml:space="preserve">                                        
Risk Reduction Project required and 3 month action plan developed to reduce risk level.  Input to Strategic Blueprint review</t>
    </r>
  </si>
  <si>
    <r>
      <rPr>
        <b/>
        <sz val="11"/>
        <color theme="1"/>
        <rFont val="Calibri"/>
        <family val="2"/>
        <scheme val="minor"/>
      </rPr>
      <t xml:space="preserve">STOP!!  Action Required       </t>
    </r>
    <r>
      <rPr>
        <sz val="11"/>
        <rFont val="Calibri"/>
        <family val="2"/>
        <scheme val="minor"/>
      </rPr>
      <t xml:space="preserve">                           
Additional defenses are required (in addition to PPE) to reduce the risk to an acceptable low level.  
Consult with FieldCore EHS.</t>
    </r>
  </si>
  <si>
    <r>
      <rPr>
        <b/>
        <sz val="12"/>
        <color theme="1"/>
        <rFont val="Calibri"/>
        <family val="2"/>
        <scheme val="minor"/>
      </rPr>
      <t xml:space="preserve">           F3  </t>
    </r>
    <r>
      <rPr>
        <b/>
        <sz val="11"/>
        <color theme="1"/>
        <rFont val="Calibri"/>
        <family val="2"/>
        <scheme val="minor"/>
      </rPr>
      <t xml:space="preserve">                          </t>
    </r>
    <r>
      <rPr>
        <sz val="11"/>
        <color theme="1"/>
        <rFont val="Calibri"/>
        <family val="2"/>
        <scheme val="minor"/>
      </rPr>
      <t>Annually</t>
    </r>
  </si>
  <si>
    <t xml:space="preserve">
*Any hazard where failure of the defence(s) could result in a catastrophic event</t>
  </si>
  <si>
    <r>
      <rPr>
        <b/>
        <sz val="12"/>
        <color theme="1"/>
        <rFont val="Calibri"/>
        <family val="2"/>
        <scheme val="minor"/>
      </rPr>
      <t xml:space="preserve">          F2  </t>
    </r>
    <r>
      <rPr>
        <b/>
        <sz val="11"/>
        <color theme="1"/>
        <rFont val="Calibri"/>
        <family val="2"/>
        <scheme val="minor"/>
      </rPr>
      <t xml:space="preserve">                                     </t>
    </r>
    <r>
      <rPr>
        <sz val="11"/>
        <color theme="1"/>
        <rFont val="Calibri"/>
        <family val="2"/>
        <scheme val="minor"/>
      </rPr>
      <t>Bi-Annually</t>
    </r>
  </si>
  <si>
    <r>
      <rPr>
        <b/>
        <sz val="12"/>
        <color theme="1"/>
        <rFont val="Calibri"/>
        <family val="2"/>
        <scheme val="minor"/>
      </rPr>
      <t xml:space="preserve">          F1   </t>
    </r>
    <r>
      <rPr>
        <b/>
        <sz val="11"/>
        <color theme="1"/>
        <rFont val="Calibri"/>
        <family val="2"/>
        <scheme val="minor"/>
      </rPr>
      <t xml:space="preserve">          </t>
    </r>
    <r>
      <rPr>
        <sz val="11"/>
        <color theme="1"/>
        <rFont val="Calibri"/>
        <family val="2"/>
        <scheme val="minor"/>
      </rPr>
      <t>Less than 
every 2 years</t>
    </r>
  </si>
  <si>
    <t>GE Event Level</t>
  </si>
  <si>
    <t>FieldCore
Severity 
Level</t>
  </si>
  <si>
    <t>Accident</t>
  </si>
  <si>
    <t>Occupational Illness</t>
  </si>
  <si>
    <t>Environment</t>
  </si>
  <si>
    <t>Damage</t>
  </si>
  <si>
    <t>Security</t>
  </si>
  <si>
    <t>Major 
(Level A)</t>
  </si>
  <si>
    <t>Fatality</t>
  </si>
  <si>
    <t>Life threatening illness
A very serious illness contracted at work that might result death</t>
  </si>
  <si>
    <t>An Incident that affects the community or environment beyond FieldCore or GE’s fence-line, interrupts public services, or triggers community protective measures such as sheltering in-place.</t>
  </si>
  <si>
    <t xml:space="preserve">Over $1,000,000 (Direct &amp; Indirect Costs)
Extensive damage (multiple fires / explosions) or loss of installation / facilities.
</t>
  </si>
  <si>
    <t>Major community disruption
Attacks, violent labor unrest, destruction of critical equipment, murder, hijacking, kidnapping, piracy, blacklisted by authorities
Complete disruption of security systems</t>
  </si>
  <si>
    <t>Serious Lost Time Injury / Partial or total permanent disability</t>
  </si>
  <si>
    <t>Serious chronic illness of employee resulting in partial or total permanent disability.</t>
  </si>
  <si>
    <t xml:space="preserve">Missing permit 
Multiple environmental permit exceedances from a single event
Spill or release that triggers reporting requirements and travels outside FieldCore or GE property.
Externally identified violation of waste disposal or hazmat shipping regulations.
</t>
  </si>
  <si>
    <t>More than $250,000 less than $1,000,000 (Direct &amp; Indirect Costs).
Damage extending to several areas / significant impairment of installation / facilities / equipment integrity
Events such as fires and explosions that require response from an outside organization</t>
  </si>
  <si>
    <t>Severe community disruption
Security threats: protests which stop work, demonstrations which can turn violent, stop of work, fraud, corruption
Significant damage to security systems</t>
  </si>
  <si>
    <t>Significant
(Level C)</t>
  </si>
  <si>
    <t>Lost Time Injury (LTI) / Partial or total temporary disability</t>
  </si>
  <si>
    <t>Illness resulting in sick leave and requiring medical treatment and/or recurrent illness 
Illness resulting in temporally work restriction and/or resulting in change of work</t>
  </si>
  <si>
    <t xml:space="preserve">Single permit exceedance 
Failure to file regulatorily-required report 
Spill or release that triggers reporting requirements but remains on FieldCore or GE property.
Self-identified violation of waste disposal or hazmat shipping regulations.
Customer reportable spill or release
Nuisance event where regulations require neighbors beyond site boundary to be notified or short-term regulatory permission to be obtained (e.g. noise / odor / dust)
</t>
  </si>
  <si>
    <t>More than $100,000, less than $250,000 (Direct &amp; Indirect Costs).
Significant damage to local area or essential plant &amp; equipment</t>
  </si>
  <si>
    <t>Significant community disruption
Protests which partially stop work, blackmail, major fight, significant theft
Limited capacity to carry out emergency communication,  significant damage to security systems</t>
  </si>
  <si>
    <t>Medical Treatment / Restricted Work Injury</t>
  </si>
  <si>
    <t>Any disorder or illness which has short term impact on the tasks of the employee requiring medical treatment beyond first aid.</t>
  </si>
  <si>
    <t xml:space="preserve">Spill or release that does not trigger reporting limits.
Non-reportable spill / release on customer property. 
Nuisance event where regulations do not require neighbors beyond site boundary to be notified or short-term regulatory permission to be obtained (e.g. noise / odor / dust)                                                                                                                   Uncontrolled use of energy (waste)
</t>
  </si>
  <si>
    <t>More than $10,000 less than $100,000            (Direct &amp; Indirect Costs).
Limited damage to plant &amp; equipment</t>
  </si>
  <si>
    <t>Minor community disruption
Limited security issues (e.g. small fights, minor thefts, minor interruption of network
Limited impact on security systems</t>
  </si>
  <si>
    <t>Minor
(Level D)</t>
  </si>
  <si>
    <t>First Aid Injury</t>
  </si>
  <si>
    <t>Minor short term ailment.
Any disorder or illness which has no impact or very short term impact on the tasks of the employee – with no medical treatment</t>
  </si>
  <si>
    <t>Spill or release that is caught by secondary containment (e.g. a spill that is contained in the package, bund or turbine enclosure) generating unexpected hazardous waste for disposal</t>
  </si>
  <si>
    <t>Less than $10,000 (Direct &amp; Indirect Costs)
Insignificant damage to plant and/or equipment</t>
  </si>
  <si>
    <t>No social or security issues</t>
  </si>
  <si>
    <t>Risk Calculator</t>
  </si>
  <si>
    <t>Hazard</t>
  </si>
  <si>
    <t>Potential Risk</t>
  </si>
  <si>
    <t>Hazard One</t>
  </si>
  <si>
    <t>Lifting Operations</t>
  </si>
  <si>
    <t>Hazard Two</t>
  </si>
  <si>
    <t>Use of Tooling</t>
  </si>
  <si>
    <t>Hazard Three</t>
  </si>
  <si>
    <t>Pinch Points/Line of Fire</t>
  </si>
  <si>
    <t>Hazard Four</t>
  </si>
  <si>
    <t>Restricted Work Space</t>
  </si>
  <si>
    <t>No Hazard</t>
  </si>
  <si>
    <t>Potential Risk Guidance</t>
  </si>
  <si>
    <t>Comments Guidance</t>
  </si>
  <si>
    <t>Work at Height</t>
  </si>
  <si>
    <t>Note:</t>
  </si>
  <si>
    <t>The TRA and Risk Matrix are the key elements of this template and are subject to document control.  The additional guidance tabs and "in-form" drop downs are intended to support and facilitate preparation if the risk assessments.  However this guidance etc is subject ongoing improvement and may be updated from time to time and so there may be some variation in this content in live working documents in the field.  This variation is acceptable but the entire template will be periodically updated and re-issued to consolidate and reflect the best practice and lessons learnt</t>
  </si>
  <si>
    <t>Hazards</t>
  </si>
  <si>
    <t>Risk Score</t>
  </si>
  <si>
    <t>Comments</t>
  </si>
  <si>
    <t>I&amp;M Core Activity</t>
  </si>
  <si>
    <t>I&amp;M Case Accident Type</t>
  </si>
  <si>
    <t>I&amp;M Case Injury Type</t>
  </si>
  <si>
    <t>I&amp;M Case Illness Type</t>
  </si>
  <si>
    <t>Adjacent Activities</t>
  </si>
  <si>
    <t>POWRA (P&amp;S Plan Tab S) should be used to mitigate risk for other working parties</t>
  </si>
  <si>
    <t>Animals</t>
  </si>
  <si>
    <t>POWRA (P&amp;S Plan Tab S) should be used to mitigate risk from wildlife hazards</t>
  </si>
  <si>
    <t>Asbestos</t>
  </si>
  <si>
    <t>An supplementary Asbestos Management Plan should be in place. Communicated and acted upon.</t>
  </si>
  <si>
    <t>Biological Hazard</t>
  </si>
  <si>
    <t>A Biological Control Plan must be in place, communicated and acted upon..</t>
  </si>
  <si>
    <t>Burst Disc</t>
  </si>
  <si>
    <t>POWRA (P&amp;S Plan Tab S) should be used to mitigate risk from burst (grinding) disks, and with the tool physically unplugged, ensure guard is in place and fully functional</t>
  </si>
  <si>
    <t>Confined Space</t>
  </si>
  <si>
    <t>Confined Space Entry Permit (P&amp;S Plan Tab U) must be used to control risk.  Attendants, gas checks, rescue planning and authorized entrants must be utilized to support entry.</t>
  </si>
  <si>
    <t>Chemicals</t>
  </si>
  <si>
    <t>Contact with wheel</t>
  </si>
  <si>
    <t>Ensure the correct disc has been selected for the type of material being used.
The disc can get caught up so ensure that a dead man switch is used and that body parts are carefully placed to prevent trap points.</t>
  </si>
  <si>
    <t>Contractors</t>
  </si>
  <si>
    <t>Contractors should be qualified through the  Comply Works contractor management program.</t>
  </si>
  <si>
    <t>Deep Water</t>
  </si>
  <si>
    <t>An emergency rescue plan and buoyancy equipment should be available and personnel trained and qualified for work and rescue.</t>
  </si>
  <si>
    <t>DG Shipment</t>
  </si>
  <si>
    <t>Local Dangerous Goods shipment laws should be understood and followed.</t>
  </si>
  <si>
    <t>Dropped Objects</t>
  </si>
  <si>
    <t>POWRA (P&amp;S Plan Tab S) should be used to mitigate risk from dropped object hazards</t>
  </si>
  <si>
    <t>Dust, Fume or Grit</t>
  </si>
  <si>
    <t>PPE Matrix (P&amp;S Plan Tab EE) should be used to identify PPE requirements.  LEV or natural ventilation should be in place where required.</t>
  </si>
  <si>
    <t>Electricity</t>
  </si>
  <si>
    <t>Live electrical work over 50V requires an Energized Electrical Work Permit (P&amp;S Plan Tab W)</t>
  </si>
  <si>
    <t>Electromagnetic Fields</t>
  </si>
  <si>
    <t>Stop work and seek advice if working in high levels of electromagnetic field activity.</t>
  </si>
  <si>
    <t>Energy Emitted</t>
  </si>
  <si>
    <t>An environmental risk assessment should be considered for high levels of energy emission.</t>
  </si>
  <si>
    <t>Ergo/WMSD</t>
  </si>
  <si>
    <t>An Ergo Assessment should be in place and communicated to all affected persons.</t>
  </si>
  <si>
    <t>Explosive Atmosphere</t>
  </si>
  <si>
    <t>The site evacuation plan (P&amp;S Plan Tab C) should be reviewed and communicated to all affected persons.  Spark control techniques, static free clothing and intrinsically safe tools and equipment must be used.</t>
  </si>
  <si>
    <t>A Fatigue Risk Management Plan should be put in place and communicated to all affected persons.</t>
  </si>
  <si>
    <t>Fire/Smoke</t>
  </si>
  <si>
    <t>The site evacuation plan (P&amp;S Plan Tab C) should be reviewed and communicated to all affected persons.</t>
  </si>
  <si>
    <t>Hazardous Substances</t>
  </si>
  <si>
    <t>Safety Data Sheets should be reviewed with controls and PPE specified in the data being followed.  The chemical must be approved and on the chemical inventory  (P&amp;S Plan Tab L)</t>
  </si>
  <si>
    <t>Health Risk (Chronic) HAVs</t>
  </si>
  <si>
    <t>POWRA (P&amp;S Plan Tab S) should be used to mitigate risk from Hand Arm Vibration</t>
  </si>
  <si>
    <t>Heavy Metals</t>
  </si>
  <si>
    <t>Heavy Metals, dusts or fumes to be controlled and approprate PPE &amp; RPE worn</t>
  </si>
  <si>
    <t>Hot Surfaces</t>
  </si>
  <si>
    <t>POWRA (P&amp;S Plan Tab S) should be used to mitigate risk from hot surfaces</t>
  </si>
  <si>
    <t>Hot Work</t>
  </si>
  <si>
    <t>A Hot Work Permit (P&amp;S Plan Tab T) should be in place to support Hot Work Activities.</t>
  </si>
  <si>
    <t>Industrial Hygiene</t>
  </si>
  <si>
    <t>Lasers</t>
  </si>
  <si>
    <t xml:space="preserve">Lasers must be used by trained technicians in strict accordance with Original Equipment Manufacturers instructions.  </t>
  </si>
  <si>
    <t>Lift Plans &amp; POWLA (P&amp;S Plan Tab V) should be in place and communicated before commencing lifting operations</t>
  </si>
  <si>
    <t>Lighting Conditions</t>
  </si>
  <si>
    <t>POWRA (P&amp;S Plan Tab S) should be used to mitigate risk from poor lighting conditions</t>
  </si>
  <si>
    <t>Loose Debris</t>
  </si>
  <si>
    <t>POWRA (P&amp;S Plan Tab S) should be used to mitigate risk from loose debris.  Special consideration should be given to the type of safety eyewear and face/neck protections selected.</t>
  </si>
  <si>
    <t>Machinery</t>
  </si>
  <si>
    <t>POWRA (P&amp;S Plan Tab S) should be used to mitigate risk entanglement or contact with rotating or moving machinery</t>
  </si>
  <si>
    <t>Manual Handling</t>
  </si>
  <si>
    <t>Ensure that the load is held close to the body, the back is straight and the legs are used to lift the load.  Use additional persons or machinery as required to prevent awkward or heavy loads causing injury.</t>
  </si>
  <si>
    <t>Noise</t>
  </si>
  <si>
    <t>POWRA (P&amp;S Plan Tab S) should be used to mitigate risk from workplace noise.  Protective earwear should be selected to mitigate the risk where admin and engineering controls do not completely mitigate the risk..</t>
  </si>
  <si>
    <t>POWRA (P&amp;S Plan Tab S) should be used to mitigate risk from pinch point and line of fire hazards.  Peering checking, tool holders and careful hand/body part placement should be deployed continuously where risk exists.</t>
  </si>
  <si>
    <t>Power Industrial Trucks</t>
  </si>
  <si>
    <t>The forklift should be inspected (P&amp;S Plan Tab Y).  Only trained operators using certified equipment are authorized, ensure there is sufficient personnel/vehicle segregation.</t>
  </si>
  <si>
    <t>Pressurized Energy</t>
  </si>
  <si>
    <t>All pressurized equipment and systems should be pre-use inspected and where required certified before use.  Approach boundaries and guarding should be used for any pressurized testing - pressure test protocols must be prepared and signed-off by a qualified person.</t>
  </si>
  <si>
    <t>Radiation</t>
  </si>
  <si>
    <t>A radiation control plan should be in place, communicated and enforced for the duration of the radiation activity. Radiation zone entry control must be in place.</t>
  </si>
  <si>
    <t>Releases to Air</t>
  </si>
  <si>
    <t>An environmental risk assessment should be considered for releases to air risk</t>
  </si>
  <si>
    <t>Releases to Land</t>
  </si>
  <si>
    <t>An environmental risk assessment should be considered for releases to land risk</t>
  </si>
  <si>
    <t>Releases to Water</t>
  </si>
  <si>
    <t>An environmental risk assessment should be considered for releases to water risk</t>
  </si>
  <si>
    <t>POWRA (P&amp;S Plan Tab S) should be used to mitigate risk from restricted work spaces</t>
  </si>
  <si>
    <t>Screen/Light Glare</t>
  </si>
  <si>
    <t>POWRA (P&amp;S Plan Tab S) should be used to mitigate risk from sharp objects.  PPE Matrix (P&amp;S Plan Tab EE) should define PPE requirements</t>
  </si>
  <si>
    <t>Sharp objects</t>
  </si>
  <si>
    <t>Stress</t>
  </si>
  <si>
    <t>Stop Work and raise concern for Stress inducing activities/situations</t>
  </si>
  <si>
    <t>Thermal Stress</t>
  </si>
  <si>
    <t>POWRA (P&amp;S Plan Tab S) should be used to mitigate risk from  Thermal Stress (Hot/Cold)</t>
  </si>
  <si>
    <t>Transport</t>
  </si>
  <si>
    <t>Journey Management Planning and use of a Banks Person should be considered to mitigate risk.</t>
  </si>
  <si>
    <t>Uncontrolled Energy (LOTO)</t>
  </si>
  <si>
    <t>LOTO (P&amp;S Tab G/N/O/P) defences shall be implemented.  Zero  Energy Verification is an absolute requirement.  Partial removal of LOTO needs to be carefully planned and communicated.</t>
  </si>
  <si>
    <t>Unplanned work scope</t>
  </si>
  <si>
    <t>STOP Work and re-evaluate TRA's and POWRA to ensure work scope deviation hazards are understood and mitigated..</t>
  </si>
  <si>
    <t>Use of Energy</t>
  </si>
  <si>
    <t>Ensure energy waste in minimized by shutting down equipment energy when not in use or using more energy efficient equipment.</t>
  </si>
  <si>
    <t>Correct Tooling and Tool holders should be in place and used by competent technicians.  Modified tools must be approved by engineering and all tools must be subject to pre-use inspection to ensure they are safe for use.</t>
  </si>
  <si>
    <t>UV Radiation</t>
  </si>
  <si>
    <t xml:space="preserve">IH Risk assessment should be in pace, communicated and acted upon.  Use Sunscreen, sheiding , and PPE (long sleeves, wide brimmed hats, uv resistant sunglasses/glasses </t>
  </si>
  <si>
    <t>Vehicle Operations</t>
  </si>
  <si>
    <t>Journey Management Planning and use of a Banks Person should be considered to mitigate risk.  360 walk around of vehicle should be conducted prior to use.</t>
  </si>
  <si>
    <t>Vibration</t>
  </si>
  <si>
    <t>IH Risk assessment should be in pace, communicated and acted upon.  Anti-vibration tools or PPE should be used as a priority where reasonable.</t>
  </si>
  <si>
    <t>Walking/Working Surface</t>
  </si>
  <si>
    <t>POWRA (P&amp;S Plan Tab S) should be used to mitigate risk from  slip, trip and fall hazards.  Housekeeping should be maintained to a high standard.</t>
  </si>
  <si>
    <t>Waste Generation</t>
  </si>
  <si>
    <t>Waste Management Plan should be in place.</t>
  </si>
  <si>
    <t>Weather</t>
  </si>
  <si>
    <t>POWRA (P&amp;S Plan Tab S) should be used to mitigate risk from adverse weather conditions</t>
  </si>
  <si>
    <t>Where a secure certified (e.g. Scaff tag) elevated work platform cannot be put in place then a safety harness with 100% tie-off to a secure structure must be used.</t>
  </si>
  <si>
    <t>Defenses</t>
  </si>
  <si>
    <t>Alarm</t>
  </si>
  <si>
    <t>Alternate Work Methods</t>
  </si>
  <si>
    <t>Approach/Restriction Boundaries</t>
  </si>
  <si>
    <t>Automate/Eliminate</t>
  </si>
  <si>
    <t>Barrier/Shielding</t>
  </si>
  <si>
    <t>Business Continuity Plan</t>
  </si>
  <si>
    <t>Buy Quiet Tool Purchasing policy (Lower noise tools)</t>
  </si>
  <si>
    <t>Certified Equipment</t>
  </si>
  <si>
    <t xml:space="preserve">Chemical Approval Process </t>
  </si>
  <si>
    <t>Chemical Sweep</t>
  </si>
  <si>
    <t>Chemical Management Program</t>
  </si>
  <si>
    <t xml:space="preserve">Chemical Risk Assessment </t>
  </si>
  <si>
    <t xml:space="preserve">Chemical Storage </t>
  </si>
  <si>
    <t>Communication</t>
  </si>
  <si>
    <t>Concern Report</t>
  </si>
  <si>
    <t>Containment Bunds</t>
  </si>
  <si>
    <t>Cooldown/Rest Area</t>
  </si>
  <si>
    <t xml:space="preserve">Correct Labelling </t>
  </si>
  <si>
    <t>Correct Tooling</t>
  </si>
  <si>
    <t>Dead Man Switch</t>
  </si>
  <si>
    <t>Designated Storage/Laydown</t>
  </si>
  <si>
    <t>Double Hearing Protection (Muffs + Plugs)</t>
  </si>
  <si>
    <t>Hearing Protection/Ear Defenders</t>
  </si>
  <si>
    <t>Ear Muffs</t>
  </si>
  <si>
    <t xml:space="preserve">Ear Plugs </t>
  </si>
  <si>
    <t>Electrical Protection Device</t>
  </si>
  <si>
    <t>Elevated Work Platform</t>
  </si>
  <si>
    <t xml:space="preserve">Eliminate </t>
  </si>
  <si>
    <t>Emergency Plan/Response</t>
  </si>
  <si>
    <t>Emergency Stop Button</t>
  </si>
  <si>
    <t>Emission Monitoring</t>
  </si>
  <si>
    <t>Equipment Selection</t>
  </si>
  <si>
    <t>Ergo Assessment</t>
  </si>
  <si>
    <t>Fall Arrest</t>
  </si>
  <si>
    <t>Finger Protectors</t>
  </si>
  <si>
    <t>Fire Equipment</t>
  </si>
  <si>
    <t>Fitness for Duty</t>
  </si>
  <si>
    <t>Gas Detectors</t>
  </si>
  <si>
    <t>Guarding</t>
  </si>
  <si>
    <t>Health Surveillance</t>
  </si>
  <si>
    <t xml:space="preserve">Health Surveillance - Skin Surveillance </t>
  </si>
  <si>
    <t>Hearing Protection</t>
  </si>
  <si>
    <t xml:space="preserve">Housekeeping - Chemicals </t>
  </si>
  <si>
    <t xml:space="preserve">Housekeeping Program </t>
  </si>
  <si>
    <t>Hydration Program</t>
  </si>
  <si>
    <t>Industrial Hygiene Program</t>
  </si>
  <si>
    <t>Insulated Tools</t>
  </si>
  <si>
    <t>Interlock(s)</t>
  </si>
  <si>
    <t>Job Rotation</t>
  </si>
  <si>
    <t>Journey Management</t>
  </si>
  <si>
    <t>Laydown Planning</t>
  </si>
  <si>
    <t>LEV</t>
  </si>
  <si>
    <t>Life Vest</t>
  </si>
  <si>
    <t>Lift Plan</t>
  </si>
  <si>
    <t>Lifting Aid</t>
  </si>
  <si>
    <t>Lighting</t>
  </si>
  <si>
    <t>LOTO</t>
  </si>
  <si>
    <t>Low Vibration Purchasing Policy</t>
  </si>
  <si>
    <t>Low Vibration Tool</t>
  </si>
  <si>
    <t>Maintenance</t>
  </si>
  <si>
    <t>Management of Change</t>
  </si>
  <si>
    <t>Manual Handling Technique</t>
  </si>
  <si>
    <t xml:space="preserve">Noise Assessment </t>
  </si>
  <si>
    <t xml:space="preserve">Noise Dampening Material </t>
  </si>
  <si>
    <t xml:space="preserve">Noise Monitoring </t>
  </si>
  <si>
    <t>Noise Refuge / Booth</t>
  </si>
  <si>
    <t>Oil Separators</t>
  </si>
  <si>
    <t xml:space="preserve">Padding (Edge &amp; Floor) </t>
  </si>
  <si>
    <t>Peer checking</t>
  </si>
  <si>
    <t>Permits</t>
  </si>
  <si>
    <t>Personal Vibration Logging (e.g. Booklets)</t>
  </si>
  <si>
    <t>Physical Fitness Program</t>
  </si>
  <si>
    <t>POWGA  (Grinding)</t>
  </si>
  <si>
    <t>POWLA (Lifting)</t>
  </si>
  <si>
    <t>POWRA</t>
  </si>
  <si>
    <t>PPE</t>
  </si>
  <si>
    <t>PPE Gloves</t>
  </si>
  <si>
    <t>Pre-use inspection</t>
  </si>
  <si>
    <t>Preventative Maintenance</t>
  </si>
  <si>
    <t>Qualified Third Party</t>
  </si>
  <si>
    <t>Reduce Weight (Split Load/divide)</t>
  </si>
  <si>
    <t>Rest &amp; Recovery</t>
  </si>
  <si>
    <t>Risk Assessment</t>
  </si>
  <si>
    <t xml:space="preserve">Risk Assessment Review </t>
  </si>
  <si>
    <t>Robot/Drone</t>
  </si>
  <si>
    <t>RPE-Respirator</t>
  </si>
  <si>
    <t>Safety Relief Valve</t>
  </si>
  <si>
    <t>Safety Signs</t>
  </si>
  <si>
    <t xml:space="preserve">Safety Showers </t>
  </si>
  <si>
    <t>SDS (Safety Data Sheet)</t>
  </si>
  <si>
    <t>Security Plan</t>
  </si>
  <si>
    <t>Sentry (attendant)</t>
  </si>
  <si>
    <t>Sharp Edge Padding</t>
  </si>
  <si>
    <t>Spill Prevention Kits</t>
  </si>
  <si>
    <t>Stop Work</t>
  </si>
  <si>
    <t>Stretching</t>
  </si>
  <si>
    <t>Substitution</t>
  </si>
  <si>
    <t>Supervisory Oversight</t>
  </si>
  <si>
    <t>Teamwork (Multi-person)</t>
  </si>
  <si>
    <t>Time Limitation/Freq Breaks</t>
  </si>
  <si>
    <t>Tool Bag/Belt/Holder</t>
  </si>
  <si>
    <t>Tool Tagging</t>
  </si>
  <si>
    <t>Vaccination</t>
  </si>
  <si>
    <t>Ventilation / LEV (Local Exhaust Extraction)</t>
  </si>
  <si>
    <t>Vibration Management</t>
  </si>
  <si>
    <t>Waste Management Plan</t>
  </si>
  <si>
    <t>Wearable sensor</t>
  </si>
  <si>
    <t>Wind Speed Monitor</t>
  </si>
  <si>
    <t>Work Instruction</t>
  </si>
  <si>
    <t xml:space="preserve">Work Schedules </t>
  </si>
  <si>
    <t xml:space="preserve">#ADD New </t>
  </si>
  <si>
    <t>FC-GL-EHS-MAN-0501-1 (Rev 0): EHS Risk Register - Health</t>
  </si>
  <si>
    <t>4 of 5</t>
  </si>
  <si>
    <t>Hazard Type</t>
  </si>
  <si>
    <t>Hazard Name</t>
  </si>
  <si>
    <t>Sources of Exposure</t>
  </si>
  <si>
    <t>FC Hazard Code (Guidance)</t>
  </si>
  <si>
    <t>CAS Number</t>
  </si>
  <si>
    <t>Acute</t>
  </si>
  <si>
    <t xml:space="preserve">Chronic </t>
  </si>
  <si>
    <t xml:space="preserve">Overall Risk Rating  </t>
  </si>
  <si>
    <t>CONTROLS</t>
  </si>
  <si>
    <t>Sev.</t>
  </si>
  <si>
    <t>Freq.</t>
  </si>
  <si>
    <t>RR</t>
  </si>
  <si>
    <t>Potential Consequences of Overexposure</t>
  </si>
  <si>
    <t xml:space="preserve">Overall Risk Rating </t>
  </si>
  <si>
    <t>Controls and Occupational Exposure Limit (OEL) reference</t>
  </si>
  <si>
    <t>Exposure Estimation</t>
  </si>
  <si>
    <t>Elimination</t>
  </si>
  <si>
    <t>Isolation</t>
  </si>
  <si>
    <t>Engineering</t>
  </si>
  <si>
    <t>Procedural</t>
  </si>
  <si>
    <t>Monitoring (Air &amp; Bio)</t>
  </si>
  <si>
    <t xml:space="preserve">Psychological </t>
  </si>
  <si>
    <t>Psychological Hazards and Stress</t>
  </si>
  <si>
    <t>Examples of Stress Related Working Conditions: Job Demands:  Work overload/under load (boredom); lack of control over work content</t>
  </si>
  <si>
    <t>4</t>
  </si>
  <si>
    <t xml:space="preserve">Stress symptoms like headaches, high blood pressure, sleep disturbance, irritability to concentrate, anxiety </t>
  </si>
  <si>
    <t>Anxiety, depression, absenteeism</t>
  </si>
  <si>
    <t xml:space="preserve">   X</t>
  </si>
  <si>
    <t xml:space="preserve">Chemical </t>
  </si>
  <si>
    <t>1,3-Butadiene (0.1% or greater)</t>
  </si>
  <si>
    <t>Not used in FieldCore</t>
  </si>
  <si>
    <t>106-99-0</t>
  </si>
  <si>
    <t>Moderate irritant to eyes (pain, redness); cold burns.</t>
  </si>
  <si>
    <t>Human carcinogen, (IARC 1)</t>
  </si>
  <si>
    <t>x</t>
  </si>
  <si>
    <t>Materials containing asbestos such as thermal insulation on pipes, tanks and structures, brake linings, gaskets, ceiling tiles, corrogated cement</t>
  </si>
  <si>
    <t>1332-21-4</t>
  </si>
  <si>
    <t>Irritant to eyes and respiratory tract</t>
  </si>
  <si>
    <t>Benzene (0.1% or greater)</t>
  </si>
  <si>
    <t>Processing, handling,  and distribution of benzene containing process streams (0.1% or greater) (O&amp;G Sector)</t>
  </si>
  <si>
    <t>71-43-2</t>
  </si>
  <si>
    <t>Irritation of the eyes and respiratory tract, CNS depression</t>
  </si>
  <si>
    <t>Human carcinogen (IARC 1), damage to bone marrow and immune system, dermatitis.</t>
  </si>
  <si>
    <t xml:space="preserve">Biological </t>
  </si>
  <si>
    <t>Paracites - Malaria</t>
  </si>
  <si>
    <t>Endemic Mosquito Borne Parasites</t>
  </si>
  <si>
    <t>Malaria infection with flu like symptoms, may lead to death.</t>
  </si>
  <si>
    <t>Relapse of Malaria infection with flu like symptoms, may lead to death.</t>
  </si>
  <si>
    <t>Critical Incidents at Work</t>
  </si>
  <si>
    <t>Witnessing or being involved in a serious incident; natural disasters and terrorist attacks; travel fears and incidents.</t>
  </si>
  <si>
    <t>Experience of Change</t>
  </si>
  <si>
    <t>Frequent changes to organization and/or job; tele-working, virtual teams; outsourcing and globalization; introduction of new systems</t>
  </si>
  <si>
    <t>Litigation and Liability</t>
  </si>
  <si>
    <t>Concern about personal liability resulting from actions; difficulties in delivering due to legal constraints; fear of prosecution or disiplininary action</t>
  </si>
  <si>
    <t>Concern about personal liability resulting from actions; difficulties in delivering due to legal constraints; fear of prosecution; u</t>
  </si>
  <si>
    <t>Stress symptoms like headaches, high blood pressure, sleep disturbance, irritability</t>
  </si>
  <si>
    <t>Bacteria - Tuberculosis</t>
  </si>
  <si>
    <t>Tuberculosis is spread through the air, when people who have the disease cough, sneeze or spit.  Increased risk in endemic countries</t>
  </si>
  <si>
    <t>Latent or disease producing tuberculosis infection.</t>
  </si>
  <si>
    <t>Can be fatal.  Chronic cough, blood in sputum, fever, night sweats and weight loss.</t>
  </si>
  <si>
    <t>Other - Vector Borne Diseases</t>
  </si>
  <si>
    <t>Diseases that are transmitted by insect or other vector with no separate hazard entry. The following other vector borne insects</t>
  </si>
  <si>
    <t>Dependent on specific hazard</t>
  </si>
  <si>
    <t>Crude Oil - Sour (Sulfur &gt; 1% wt)</t>
  </si>
  <si>
    <t>Reservoirs, wells, pipelines, pressure vessels, storage tanks (O&amp;G Sector)</t>
  </si>
  <si>
    <t>H2S effects: chemical asphyxiant causing respiratory paralysis, unconsciousness, irritant to skin, eyes and respiratory tract</t>
  </si>
  <si>
    <t>Human carcinogens (IARC 1) benzene and coal tar pitch may be present.</t>
  </si>
  <si>
    <t>Cadmium metal, soluble compounds and oxide fume</t>
  </si>
  <si>
    <t>Welding on cadmium plating, bolts and equipment</t>
  </si>
  <si>
    <t>7440-43-9</t>
  </si>
  <si>
    <t>Delayed onset of pulmonary oedema</t>
  </si>
  <si>
    <t>Human carcinogen (IARC 1), kidney damage, effects on lung function</t>
  </si>
  <si>
    <t>Catalyst - Nickel</t>
  </si>
  <si>
    <t>Fresh nickel catalyst, often combined with aluminum oxide, cobalt oxide, and/or molybdenum oxide on catayyst systems</t>
  </si>
  <si>
    <t>7440-02-0</t>
  </si>
  <si>
    <t>Irritant to skin, eyes and respiratory tract</t>
  </si>
  <si>
    <t>IARC 1 known human carcinogen, skin and respiratory sensitizer, asthma, lung impairment</t>
  </si>
  <si>
    <t>Catalyst - Nickel (Spent)</t>
  </si>
  <si>
    <t>Chromium (VI) (Hexavalent)</t>
  </si>
  <si>
    <t xml:space="preserve">Welding and arc gouging stainless steel, nickel and high chromium steels (chromium VI).  Applying or removing chrome pigmented paint, contamination from adjacent activiites </t>
  </si>
  <si>
    <t>7440-47-3</t>
  </si>
  <si>
    <t>Corrosive to eyes, skin and respiratory tract.</t>
  </si>
  <si>
    <t>Human carcinogen (IARC 1), skin sensitization, asthma, effects on kidneys, nasal septum, genetic material and reproduction.</t>
  </si>
  <si>
    <t>Crude oil - Sweet</t>
  </si>
  <si>
    <t>Reservoirs, wells, pipelines, pressure vessels, storage tanks in O&amp;G</t>
  </si>
  <si>
    <t>Gasolines</t>
  </si>
  <si>
    <t>Generally contain benzene 0.1 - 5%.  Storage tanks, vehicle fuelling stations, vehicle maintenance</t>
  </si>
  <si>
    <t>Irritant to eyes, skin and respiratory tract from mist and vapour, may cause lung damage if swallowed</t>
  </si>
  <si>
    <t>Nickel (insoluble compounds)</t>
  </si>
  <si>
    <t>Nickel oxide, carbonate hydroxide, hydroxide, and sulfide (Millerite)</t>
  </si>
  <si>
    <t>Human carcinogen (IARC 1), skin and respiratory sensitizer</t>
  </si>
  <si>
    <t>Particulates (respirable, not classified)</t>
  </si>
  <si>
    <t>Smoke, soot, diesel fumes, cutting brickwork and concrete, driving on unpaved roads, carpenter shops, grit blasting, sand blasting, dry climates</t>
  </si>
  <si>
    <t>Irritation of eyes and respiratory tract.</t>
  </si>
  <si>
    <t>Chronic toxic effects and carcinogenicity depending on the dust composition eg Cr(VI)</t>
  </si>
  <si>
    <t>Refractory ceramic fibers (RCF)</t>
  </si>
  <si>
    <t xml:space="preserve">Furnaces, heaters, flare stacks; jackhammering or pneumatic chipping of furnace linings, minor repairs, on site storage / Boilers steam insulation </t>
  </si>
  <si>
    <t>Mechanical eye, skin, and respiratory tract irritant</t>
  </si>
  <si>
    <t>Possibly carcinogenic to humans (IARC 2B), lung disease.</t>
  </si>
  <si>
    <t>Silica (crystalline)</t>
  </si>
  <si>
    <t>Industrial furnace maintenance, construction industry; abrasive-blasting, road dust, concrete cutting</t>
  </si>
  <si>
    <t>Human carcinogen (IARC 1), silicosis.</t>
  </si>
  <si>
    <t>Silica (crystalline, cristobalite) respirable</t>
  </si>
  <si>
    <t>Silica (crystalline, quartz) respirable</t>
  </si>
  <si>
    <t>Silica (crystalline, tridymite) respirable</t>
  </si>
  <si>
    <t>Virus - Yellow Fever</t>
  </si>
  <si>
    <t>Endemic Mosquito Borne Virus</t>
  </si>
  <si>
    <t>Flu like symptoms for 3-4 days possibly followed by delirium, seizures, coma and death.</t>
  </si>
  <si>
    <t>None known</t>
  </si>
  <si>
    <t>Acid Gas (Syn gas)</t>
  </si>
  <si>
    <t xml:space="preserve">From acid scrubbers (H2S and carbon dioxide), stack emissions  </t>
  </si>
  <si>
    <t>Based on H2S: Chemical asphyxiant causing respiratory paralysis, irritant; unconsciousness, fatality</t>
  </si>
  <si>
    <t>Oxygen concentration in air (in balance)</t>
  </si>
  <si>
    <t>Breach of oxygen / nitrogen balance. Confined spaces, tanks, nitrogen deluge systems, Oxygen depleting deluge systems, blanket gas,</t>
  </si>
  <si>
    <t>Asphyxiation due to displacement of oxygen, (Safety confined space)</t>
  </si>
  <si>
    <t>Simple Asphyxiants- Nitrogen Blanket, Inert Gases, Oxygen Depletion, and Gas Releases</t>
  </si>
  <si>
    <t>Displacement of oxygen.  Breach of oxygen / nitrogen balance. Confined spaces, tanks, nitrogen deluge systems, Oxygen depleting delu</t>
  </si>
  <si>
    <t>Asphyxiation, to be addressed in HEMP or Safety Case</t>
  </si>
  <si>
    <t>Phenol</t>
  </si>
  <si>
    <t>Lubricants additive</t>
  </si>
  <si>
    <t>108-95-2</t>
  </si>
  <si>
    <t>Corrosive to skin, eyes, and respiratory tract. CNS effects, headache, coma, collapse (rapidly absorbed through skin)</t>
  </si>
  <si>
    <t>Dermatitis and damage to liver and kidneys.</t>
  </si>
  <si>
    <t>Sulfur dioxide (SO2)</t>
  </si>
  <si>
    <t>Exhaust fumes inc. from diesel engines</t>
  </si>
  <si>
    <t>7446-09-5</t>
  </si>
  <si>
    <t>Corrosive to eyes and lungs, fatality</t>
  </si>
  <si>
    <t>Respiratory Sensitizer, Asthma</t>
  </si>
  <si>
    <t>Sulfuric Acid</t>
  </si>
  <si>
    <t xml:space="preserve"> Sulphuric: cooling tower treatment, vehicle/UPS battery charging</t>
  </si>
  <si>
    <t>7664-93-9</t>
  </si>
  <si>
    <t>Corrosive to skin and eyes. Respiratory irritant, may cause pulmonary edema</t>
  </si>
  <si>
    <t>Carcinogen  IARC 1,  impairment of lung function, tooth erosion</t>
  </si>
  <si>
    <t>Lead (inorganic)</t>
  </si>
  <si>
    <t>Paints, soldering, battery maintenance, lead acetate, laboratory chemicals</t>
  </si>
  <si>
    <t>7439-92-1</t>
  </si>
  <si>
    <t>Effects on nervous system, blood and kidneys; Eye irritant.</t>
  </si>
  <si>
    <t>Probably carcinogenic to humans (IARC 2A). Neurological, blood, kidney effects. Toxic to reproduction and development.</t>
  </si>
  <si>
    <t>Vinyl Chloride</t>
  </si>
  <si>
    <t>Plastic pyrosis</t>
  </si>
  <si>
    <t>Nnarcotic CNS effects, digestive disturbances</t>
  </si>
  <si>
    <t>Angiosarcoma, liver enlargement, Raynauds syndrome and nerve damage</t>
  </si>
  <si>
    <t>Chlorine</t>
  </si>
  <si>
    <t xml:space="preserve">Water treatment; process raw material or feedstock, cylinder handling (cooling towers) Boiler and steam systems </t>
  </si>
  <si>
    <t>7782-50-5</t>
  </si>
  <si>
    <t>Severe burns to skin and eyes; highly irritating to respiratory tract, delayed pulmonary edema</t>
  </si>
  <si>
    <t>Inflammation or ulceration of nasal passages or damage to teeth</t>
  </si>
  <si>
    <t>Hydrofluoric Acid</t>
  </si>
  <si>
    <t>Metal Cleaner, used to Pickle metals (rust removal)</t>
  </si>
  <si>
    <t>7664-39-3</t>
  </si>
  <si>
    <t>Fluorosis, Impaired lung function.</t>
  </si>
  <si>
    <t>Hydrogen fluoride</t>
  </si>
  <si>
    <t>Acids (concentrated), inorganic (liquids) (pH &lt; 2)</t>
  </si>
  <si>
    <t>Extremely corrosive, causes fatal lung oedema, hypocalcemia.</t>
  </si>
  <si>
    <t>Effects on bones and teeth (fluorosis).</t>
  </si>
  <si>
    <t>Hydrogen sulfide containing streams with H2S &gt; 1000 ppm mole (600 mg/kg) or &gt;100 ppm vapour space</t>
  </si>
  <si>
    <t xml:space="preserve">Zone 1 in O&amp;G sites </t>
  </si>
  <si>
    <t>7783-06-4</t>
  </si>
  <si>
    <t>Chemical asphyxiant causing respiratory paralysis, irritant; unconsciousness, fatality</t>
  </si>
  <si>
    <t>Damage to nasal tissues.</t>
  </si>
  <si>
    <t xml:space="preserve">Ergonomic </t>
  </si>
  <si>
    <t>Awkward Posture of the Shoulder, Neck, Back (not associated with force)</t>
  </si>
  <si>
    <t>Awkward posture of the shoulder neck or back when associated with static loading or repetition.</t>
  </si>
  <si>
    <t>Muscular discomfort or fatigue, strain or sprain</t>
  </si>
  <si>
    <t>Chronic musculo-skeletal disorders of the shoulder neck or back</t>
  </si>
  <si>
    <t>Manual handling – Hand/Wrist/Grasping/Pinching/Holding/Repetitive Use</t>
  </si>
  <si>
    <t>Excessive force or repetitive use from grasping, pinching, or holding.</t>
  </si>
  <si>
    <t>Acute strain or sprain to muscles and joints</t>
  </si>
  <si>
    <t>Chronic musculo-skeletal disorders</t>
  </si>
  <si>
    <t>Manual Handling - Lifting, Lowering, Carrying</t>
  </si>
  <si>
    <t>Lifting, lowering and carrying any object over 20 lbs (~9kgs) with two hands or over 10lbs (~4.5kgs) with one hand.</t>
  </si>
  <si>
    <t>Manual Handling - Pushing, Pulling</t>
  </si>
  <si>
    <t>Pushing or pulling any object, handle or device with force of 15lbs (~7kgs) pounds or more for one hand or 25lbs (11kgs) or more for 2 hands.</t>
  </si>
  <si>
    <t>Chronic musculo-skeletal disorders of the back, shoulders or arms</t>
  </si>
  <si>
    <t>Ergonomics - use of control panels</t>
  </si>
  <si>
    <t>Use of control panels in control rooms - screen viewing, use of input devices (as touch screen, keyboard, mouse)</t>
  </si>
  <si>
    <t>Muscular discomfort; eyestrain; soreness to soft tissues (e.g. wrist)</t>
  </si>
  <si>
    <t>Work-related upper limb disorders, repetitive strain injury</t>
  </si>
  <si>
    <t>Kneeling, Squatting, Standing  on 1 leg, Contact Stress on legs</t>
  </si>
  <si>
    <t>Kneeling, squatting, standing on one leg or contact stress on the legs.</t>
  </si>
  <si>
    <t>Muscular fatigue or discomfort, may include numbness in the legs</t>
  </si>
  <si>
    <t>Lower body joint disorders</t>
  </si>
  <si>
    <t>RSI Risk from Computer/Display Screen Equipment</t>
  </si>
  <si>
    <t>Heavy use of computers / VDUs in office environments (operations and office workers) - screen viewing, use of keyboard and mouse</t>
  </si>
  <si>
    <t xml:space="preserve">Physical </t>
  </si>
  <si>
    <t>Vibration - Hand/Arm</t>
  </si>
  <si>
    <t>Vibration primarily effecting the hands and arms. Exposure from operating hand tools as impact wrenches jack hammers, grinders, sand blasting, pedistal grinders, polishers</t>
  </si>
  <si>
    <t>Muscular discomfort, fatigue and tingling in the hand or arms</t>
  </si>
  <si>
    <t>Musculo-skeletal disorders, vibration white finger</t>
  </si>
  <si>
    <t xml:space="preserve">Vibration - Whole Body </t>
  </si>
  <si>
    <t>Vibration primarily effecting the whole body. Exposure usually comes from sitting in heavy machinery, on uneven ground</t>
  </si>
  <si>
    <t>Muscular discomfort or fatigue, or tingling or numbness in the body</t>
  </si>
  <si>
    <t>Lower back pain or lower lumbar disorders</t>
  </si>
  <si>
    <t xml:space="preserve">Virus - Dengue Fever </t>
  </si>
  <si>
    <t>Flu like symptoms. Uncontrolled bleeding. Can be fatal.</t>
  </si>
  <si>
    <t>Deep Vein Thrombosis / Pulmonary Embolus (DVT/PE) Risk</t>
  </si>
  <si>
    <t>Dehydration and lack of mobility assocated with long haul air travel</t>
  </si>
  <si>
    <t>Blood clot in deep vein, possible pulmonary embolism.</t>
  </si>
  <si>
    <t>Vein damage and swelling in the legs</t>
  </si>
  <si>
    <t>e.g. Hydrofluoric; Hydrochloric; Sulfamic acid; Sulphuric: cooling tower treatment, vehicle/UPS battery charging; Phosphoric; Nitric Avid</t>
  </si>
  <si>
    <t>Fluorosis (Hydrofluoric acid)</t>
  </si>
  <si>
    <t>Med</t>
  </si>
  <si>
    <t>Barium (soluble)</t>
  </si>
  <si>
    <t>Production fluids, in O&amp;G Sector</t>
  </si>
  <si>
    <t>7440-39-3</t>
  </si>
  <si>
    <t>CNS effects, cardiac and muscular disorders, may result in death, irritating to the eyes, the skin and the respiratory tract</t>
  </si>
  <si>
    <t xml:space="preserve">Virus - Hepatitis Virus B, C and unspecified hepatitis </t>
  </si>
  <si>
    <t>Contact with contaminated blood, blood products and other body fluids, or sewage.</t>
  </si>
  <si>
    <t>Hepatitis B / C infection, flu-like symptoms</t>
  </si>
  <si>
    <t>Liver failure, jaundice, weakness, liver cancer</t>
  </si>
  <si>
    <t>Virus - HIV</t>
  </si>
  <si>
    <t>Contact with contaminated blood, blood products and other body fluids in mass actidents, HIV infection resulting in infectious and parasitic diseases.</t>
  </si>
  <si>
    <t>HIV Positive</t>
  </si>
  <si>
    <t>HIV infection; AIDS; secondary infections.</t>
  </si>
  <si>
    <t>Beryllium</t>
  </si>
  <si>
    <t>Welding, Arc gouging</t>
  </si>
  <si>
    <t>7440-41-7</t>
  </si>
  <si>
    <t>Irritant to skin, eye and respiratory tract. May cause pulmonary edema and pneumonitis.</t>
  </si>
  <si>
    <t>IARC 1 Carcinogenic to Humans, sensitizer, lung damage, berylliosis.</t>
  </si>
  <si>
    <t>Carbon monoxide (Gas)</t>
  </si>
  <si>
    <t>Process material, in flue gases and as feed for furnaces; syn gas; engine exhausts, emergency generators, boilers, pyrosissystems</t>
  </si>
  <si>
    <t>630-08-0</t>
  </si>
  <si>
    <t>Effects blood , resulting in carboxyhaemoglobinemia and cardiac disorders . Can be fatal.</t>
  </si>
  <si>
    <t>EU Risk Category 1 Teratogen, may cause harm to unborn child.</t>
  </si>
  <si>
    <t>Hydrazine and compounds</t>
  </si>
  <si>
    <t>In catalysts, also hydrazine sulfate</t>
  </si>
  <si>
    <t>302-01-2</t>
  </si>
  <si>
    <t>Corrosive to skin, eyes and respiratory system.  Can be fatal by inhalation or skin absorbtion.  Can effect liver, kidney or CNS.</t>
  </si>
  <si>
    <t>Possibly carcinogenic to humans (IARC 2B),  skin sensitizer, suspect mutagen, damage to liver,kidney and CNS.</t>
  </si>
  <si>
    <t>Isocyanates (MDI, TDI, HDI, etc)</t>
  </si>
  <si>
    <t>Adhesives, paints, in polyurea grease, maintenance usage</t>
  </si>
  <si>
    <t>Very toxic by inhalation.  Can cause asthma, bronchitis, or fatal lung oedema.  Skin, eye, and lung irritant.</t>
  </si>
  <si>
    <t>Respiratory sensitizer, asthma, animal carcinogen IARC 2B, chronic lung disease.</t>
  </si>
  <si>
    <t>Nickel carbonyl</t>
  </si>
  <si>
    <t>Gas may be produced from spent nickel catalyst and carbon monoxide</t>
  </si>
  <si>
    <t>13463-39-3</t>
  </si>
  <si>
    <t>Very irritating to the respiratory tract and may produced delayed edema and death; may cause CNS effects</t>
  </si>
  <si>
    <t>Carcinogenic (ACGIH TLV for Nickel Carbonyl)</t>
  </si>
  <si>
    <t>Potassium Di-chromate</t>
  </si>
  <si>
    <t xml:space="preserve">Testing electronics </t>
  </si>
  <si>
    <t>7778-50-9</t>
  </si>
  <si>
    <t>Carcinogen, Nasal cancer, IARC Class 1, Respiratory sensitizer, Nosebleeds, Impaired lung function.</t>
  </si>
  <si>
    <t>Sulfur Trioxide</t>
  </si>
  <si>
    <t xml:space="preserve">Can be given off my Lead Acid Batteries </t>
  </si>
  <si>
    <t>7446-11-9</t>
  </si>
  <si>
    <t>TDI (Toluene diisocyanates)</t>
  </si>
  <si>
    <t>Expoxy based paints,  epoxy resins, laboratory chemical</t>
  </si>
  <si>
    <t>26471-62-5</t>
  </si>
  <si>
    <t>Tetraethyl Lead</t>
  </si>
  <si>
    <t>Tank sludge and scale in old tanks that have not been cleaned down to bare metal that were in leaded gasoline service.  (O&amp;G Sector)</t>
  </si>
  <si>
    <t>78-00-2</t>
  </si>
  <si>
    <t>Very toxic to CNS, can be fatal. Irritant to skin, eyes and respiratory tract.</t>
  </si>
  <si>
    <t>Toxic to reproduction and the CNS</t>
  </si>
  <si>
    <t>Aromatic extracts</t>
  </si>
  <si>
    <t>Heavy fuels,  resins, rubber and plastics</t>
  </si>
  <si>
    <t>Defatting skin and dermatitis, human carcinogen (IARC 1) from coal tar pitch content.</t>
  </si>
  <si>
    <t>Arsenic and inorganic compounds</t>
  </si>
  <si>
    <t>Welding, As (Arsenic), As(III) (Arsenites), As(V) (Arsenates)</t>
  </si>
  <si>
    <t>7440-38-2</t>
  </si>
  <si>
    <t>Overexposure can be fatal.  Irritation of respiratory tract, gastroenteritis, and effects on multiple organs.</t>
  </si>
  <si>
    <t>Known Human Carcinogen (IARC 1), Toxic to reproduction, Chronic exposure can be fatal, effects multiple organs.</t>
  </si>
  <si>
    <t>Benzo (A) Pyrene</t>
  </si>
  <si>
    <t>Chemical industry, oil combustion, also in petroleum Coke</t>
  </si>
  <si>
    <t>50-32-8</t>
  </si>
  <si>
    <t>Caution! Effects data unavailable from standard references.</t>
  </si>
  <si>
    <t>IARC 1 Human carcinogen, genetic damage, toxic to reproduction</t>
  </si>
  <si>
    <t>Benzo (K) Fluoroanthane</t>
  </si>
  <si>
    <t>207-08-9</t>
  </si>
  <si>
    <t>Possibly carcinogenic to humans (IARC 2B)</t>
  </si>
  <si>
    <t>Catalyst - Cobalt (spent)</t>
  </si>
  <si>
    <t>Spent Hydrotreating Cobalt/Moly catalyst which contains 0-2% benzene</t>
  </si>
  <si>
    <t xml:space="preserve"> May be pyrophoric, irritation of the eyes, nose, and throat; irritation to the skin causing a burning sensation, redness, and/or swelling</t>
  </si>
  <si>
    <t>Human carcinogen (IARC 1), sensitizer, effects on blood, immune system, lungs, heart and kidneys. Asthma. Dermatitis.</t>
  </si>
  <si>
    <t>Chrysene</t>
  </si>
  <si>
    <t xml:space="preserve"> Chemical industry, oil combustion, possibly in heavy hydrocarbon s as part of C5+ stream, also in petroleum Coke</t>
  </si>
  <si>
    <t>Harmful by inhalation and contact with skin.</t>
  </si>
  <si>
    <t>Cigarette smoke - passive</t>
  </si>
  <si>
    <t>Exposure to passive smoke from cigarettes, cigars or pipe. Working around smokers, work in / near designated smoking areas</t>
  </si>
  <si>
    <t>Irritation of airways and eyes</t>
  </si>
  <si>
    <t>Human Carcinogen (IARC 1).  Diseases of lungs, heart and blood vessels.  Increased respiratory illnesses.</t>
  </si>
  <si>
    <t>Coal (respirable, &lt;5% silica)</t>
  </si>
  <si>
    <t>Boiler fuel source, Klinker</t>
  </si>
  <si>
    <t>Irritation to the eyes (mechanical), and respiratory tract</t>
  </si>
  <si>
    <t>Human carcinogen (IARC 1), crystalline silica may be present</t>
  </si>
  <si>
    <t>Cobalt and inorganic compounds</t>
  </si>
  <si>
    <t xml:space="preserve">Desulfurizing catalyst (see Catalyst - Cobalt), found in welding Rods.  </t>
  </si>
  <si>
    <t>Respiratory sensitizer, possibly carcinogenic (IARC 2B), chronic lung disease.</t>
  </si>
  <si>
    <t>Combustion particulates/toxic smoke</t>
  </si>
  <si>
    <t>Generators, Fire Pumps, Stack Discharge from Heaters, Fired Equipment, Vehicles, Vehicle maintenance shops. Fire fighting activities</t>
  </si>
  <si>
    <t>Probably carcinogenic to humans (IARC 2A)</t>
  </si>
  <si>
    <t>Condensate (C5-C10 hydrocarbons)</t>
  </si>
  <si>
    <t>Storage tanks, gas wells, gas pipelines, gas separation vessels in O&amp;G</t>
  </si>
  <si>
    <t>Dibenz (A,H) Anthracene</t>
  </si>
  <si>
    <t>Oil  combustion,  also in petroleum Coke</t>
  </si>
  <si>
    <t>53-70-3</t>
  </si>
  <si>
    <t>Skin irritation</t>
  </si>
  <si>
    <t>IARC 2A Probably carcinogenic, skin photosensitization</t>
  </si>
  <si>
    <t>Diesel exhaust fumes</t>
  </si>
  <si>
    <t>Exhaust fumes from diesel engines</t>
  </si>
  <si>
    <t>Human carcinogens (IARC 1)</t>
  </si>
  <si>
    <t>Dioxins and Furans</t>
  </si>
  <si>
    <t xml:space="preserve">Incineration of wastes, Garbage incinerators </t>
  </si>
  <si>
    <t>Irritation of eyes, skin and respiratory system</t>
  </si>
  <si>
    <t>Formaldehyde</t>
  </si>
  <si>
    <t xml:space="preserve">IAQ contaminant from building material, pest control </t>
  </si>
  <si>
    <t>50-00-0</t>
  </si>
  <si>
    <t>Human carcinogen (IARC 1) Skin sensitizer and allergen.</t>
  </si>
  <si>
    <t>Indeno (1,2,3,C,D) Pyrene</t>
  </si>
  <si>
    <t xml:space="preserve"> Chemical industry, oil combustion,  also in petroleum Coke, Boilers </t>
  </si>
  <si>
    <t>193-39-5</t>
  </si>
  <si>
    <t>Molybdenum Catalyst (spent)</t>
  </si>
  <si>
    <t>Component of catalyst usually with nickel or cobalt which are the more toxicologically significant components</t>
  </si>
  <si>
    <t>Minimal irritation to skin, headache, nose and throat irritation, nausea</t>
  </si>
  <si>
    <t>Motor Oils, Used</t>
  </si>
  <si>
    <t xml:space="preserve">Used lubricating, motor, engine, and other oils, maintainace activities </t>
  </si>
  <si>
    <t>Irritant to eyes and respiratory tract if mist is inhaled</t>
  </si>
  <si>
    <t>Contact dermatitis, skin carcinomas based on potential presence of PCAH</t>
  </si>
  <si>
    <t>Nickel (soluble compounds)</t>
  </si>
  <si>
    <t>Nickel chloride, sulfate, nitrate, sulfamate, acetate, and nickel ammonium chloride</t>
  </si>
  <si>
    <t>Nonyl Phenol</t>
  </si>
  <si>
    <t>Curing Agent for Epoxy Resins</t>
  </si>
  <si>
    <t>84852-15-3</t>
  </si>
  <si>
    <t>Corrosive to eyes and skin</t>
  </si>
  <si>
    <t>Possible toxicity to human development and reproduction.</t>
  </si>
  <si>
    <t>Oil based sludges</t>
  </si>
  <si>
    <t xml:space="preserve">Fuel Tank work or spills </t>
  </si>
  <si>
    <t>Irritant to eyes, skin and respiratory tract</t>
  </si>
  <si>
    <t>Polychlorinated biphenyls (PCBs) (&gt; 500 ppm)</t>
  </si>
  <si>
    <t xml:space="preserve">Transformer oils (NB, approx. 50 congeners each with a separate CAS number.). Dielectric fluids, e.g Arochlor by Monsanto. Outage maintainance </t>
  </si>
  <si>
    <t>Moderately irritating to eyes, acne from prolonged skin exposure, absorbed through skin</t>
  </si>
  <si>
    <t>Human carcinogen (IARC 1), dermatitis, chloracne, effects on liver and reproduction</t>
  </si>
  <si>
    <t>Polycyclic Aromatic Hydrocarbons (PCAs, PNAs, PCAHs)</t>
  </si>
  <si>
    <t>Some greases, lubes, and cutting oils, oil combustion, possibly in heavy hydrocarbons as part of C5+ stream, also in petroleum Coke</t>
  </si>
  <si>
    <t>Moderately irritant to skin, eyes and lungs</t>
  </si>
  <si>
    <t>Human carcinogen (IARC 1), Sensitivity to sunlight.</t>
  </si>
  <si>
    <t>Unknown chemicals during an emergency</t>
  </si>
  <si>
    <t>Process streams, waste products, combustion products that could be encountered in an emergency such as smoke, spilled or released chemicals, gases</t>
  </si>
  <si>
    <t>Various including irritation, asphyxiation, burns (if corrosive)</t>
  </si>
  <si>
    <t>Dependent on the chemical</t>
  </si>
  <si>
    <t>Water treatment chemicals,other non pH of Biocide use</t>
  </si>
  <si>
    <t xml:space="preserve">Corrosion and scale inhibitors, boiler and steams systems </t>
  </si>
  <si>
    <t>Based on species present: Irritant to eyes, skin and respiratory tract</t>
  </si>
  <si>
    <t>Based on species present: Systemic effects</t>
  </si>
  <si>
    <t>Wood Dust- Hard Woods and Western Red Cedar</t>
  </si>
  <si>
    <t>Carpentry, forest and brush clearing of hard woods: western red cedar, oak, beech, birch, mahogony, teak  or walnut</t>
  </si>
  <si>
    <t>Upper respiratory and eye irritation</t>
  </si>
  <si>
    <t>NIR - Ultra violet light (UV) - wavelength 100 - 400 nm (non-ionizing radiation)</t>
  </si>
  <si>
    <t>Arc welding; sunlight</t>
  </si>
  <si>
    <t>Arc eye; erythema, skin burn</t>
  </si>
  <si>
    <t>Skin cancer (Human carcinogen IARC 1)</t>
  </si>
  <si>
    <t>Radiation - Alpha, Beta particles</t>
  </si>
  <si>
    <t>Radiography, densitometers, interface instruments, radio-labelled compounds for reaction tracing, smoke detectors</t>
  </si>
  <si>
    <t>Skin damage</t>
  </si>
  <si>
    <t>Human carcinogen (IARC 1), Damage to reproductive system and blood cells.</t>
  </si>
  <si>
    <t>Radiation - Gamma Rays</t>
  </si>
  <si>
    <t xml:space="preserve">Radiography (primarily Ir-192 and Co-60), radio-labelled compounds for reaction tracing, </t>
  </si>
  <si>
    <t>Cell damage e.g. skin burns, sickness, loss of hair - potentially fatal</t>
  </si>
  <si>
    <t>Radiation - X Rays wavelength &lt; 10 nm</t>
  </si>
  <si>
    <t>Medical scanners, x-ray inspection equipment (non-destructive testing)</t>
  </si>
  <si>
    <t>Radiation - Neutrons</t>
  </si>
  <si>
    <t>Nuclear reactors, NDT work</t>
  </si>
  <si>
    <t>Radiation - Naturally Occurring Ionising radiation (NORM)</t>
  </si>
  <si>
    <t>Naturally occurring radioactive material (NORM). Scales in tubulars, and vessels,  sludge in crude oil storage tanks, and desalters (O&amp;G Sector)</t>
  </si>
  <si>
    <t>No known effects</t>
  </si>
  <si>
    <t>Bacteria - Legionella (waterborne)</t>
  </si>
  <si>
    <t>Primarily present in static water systems and emitted as an aerosol e.g. cooling towers; hot water supplies; domestic and safety showers</t>
  </si>
  <si>
    <t>Pontiac fever (mildest form of infection); Legionairres' disease - pneumonia (severest form of infection - may be fatal)</t>
  </si>
  <si>
    <t>Effects on lung function</t>
  </si>
  <si>
    <t>Acetic Acid</t>
  </si>
  <si>
    <t>Metal Cleaner</t>
  </si>
  <si>
    <t>64-19-7</t>
  </si>
  <si>
    <t>Dermatitis</t>
  </si>
  <si>
    <t>Hydrochloric Acid</t>
  </si>
  <si>
    <t>7647-01-0</t>
  </si>
  <si>
    <t>Impairment of lung function, tooth erosion</t>
  </si>
  <si>
    <t>Hydrogen Bromide</t>
  </si>
  <si>
    <t>Pesticide</t>
  </si>
  <si>
    <t>10035-10-6</t>
  </si>
  <si>
    <t>Corrosive effect on skin and respiratory system.</t>
  </si>
  <si>
    <t>Hydrogen cyanide</t>
  </si>
  <si>
    <t>74-90-8</t>
  </si>
  <si>
    <t>Unconsciousness, fatality</t>
  </si>
  <si>
    <t>Impaired thyroid function.</t>
  </si>
  <si>
    <t>Nitric Acid</t>
  </si>
  <si>
    <t>7697-37-2</t>
  </si>
  <si>
    <t>Nitrogen Dioxide</t>
  </si>
  <si>
    <t>Exhuast gas, engines, stacks</t>
  </si>
  <si>
    <t>10102-44-0</t>
  </si>
  <si>
    <t>Corrosive to eyes, skin and respiratory tract. Fatal pulmonary oedema.</t>
  </si>
  <si>
    <t>Reduced immunity, lung impairment, and possible reproductive effects.</t>
  </si>
  <si>
    <t>Silver Nitrate</t>
  </si>
  <si>
    <t>Water Treatment</t>
  </si>
  <si>
    <t>7761-88-8</t>
  </si>
  <si>
    <t>Corrosive to eyes and skin, anoxia, methaemoglobinemia.</t>
  </si>
  <si>
    <t>Lung damage, methaemoglobinemia, discoloration of eyes and skin.</t>
  </si>
  <si>
    <t>Sodium Aluminate</t>
  </si>
  <si>
    <t>Catalyst production process chemical</t>
  </si>
  <si>
    <t>1302-42-7</t>
  </si>
  <si>
    <t>Thermal - Cold Stress / Cold Temperature Differentials</t>
  </si>
  <si>
    <t xml:space="preserve">Process piping, tankers, vapor lines, cryogenic plants, cold stores / walk in refrigerators  Moderate climates in Autumn, Winter Spring, arctic climates, seas, wet conditions </t>
  </si>
  <si>
    <t>Hypothermia; frost bite</t>
  </si>
  <si>
    <t>May aggravate pre-existing conditions, e.g. musculo-skeletal problems</t>
  </si>
  <si>
    <t>Thermal - Heat Stress / Hot Temperature Differentials</t>
  </si>
  <si>
    <t>Working outside in tropical climates or summer heat. Working near hot equipment such as furnaces, boilers, hot work, etc</t>
  </si>
  <si>
    <t>Heat stroke leading to death (lesser symptoms: exhaustion, cramps, rash, fatigue)</t>
  </si>
  <si>
    <t>Thermal - Relative Humidity</t>
  </si>
  <si>
    <t>Humid climates, or industrial sites with high moisture environment. Climates where sweat evaporation rates are too low to cool the human body, personal protective clothing, also lack of moisture (cold dry air, &lt; 30% RI) for poorly managed indoor HVAC systems)</t>
  </si>
  <si>
    <t>Other - Infectious and venomous animal bites</t>
  </si>
  <si>
    <t>Dogs, cats, wild animals, snakes, rats</t>
  </si>
  <si>
    <t>Severe wounds, tetanus, rabies, poisoning</t>
  </si>
  <si>
    <t>Virus - Hantavirus</t>
  </si>
  <si>
    <t>Contact or airborne exposure to rodent droppings</t>
  </si>
  <si>
    <t>Hantavirus pulmonary syndrome</t>
  </si>
  <si>
    <t xml:space="preserve">Virus - Japanese B Encephalitis </t>
  </si>
  <si>
    <t>Endemic virus transmitted by mosquitoes in affected south and east Asian countries.</t>
  </si>
  <si>
    <t>Few initial symptoms followed by encephalitis or meningitis.  Long term neuropsychiatric effects or death result in 30% of cases.</t>
  </si>
  <si>
    <t>Virus - Tick-borne Encephalitis</t>
  </si>
  <si>
    <t>Transmitted by ixodid ticks found in many parts of Europe, the former Soviet Union, and Asia.</t>
  </si>
  <si>
    <t>Flu like symptoms followed by encephalitis or meningitis.  Long term neuropsychiatric effects and death can result.</t>
  </si>
  <si>
    <t>Barium chloride, Potassium Chloride</t>
  </si>
  <si>
    <t>Very small concentrations in production fluid, handling operations</t>
  </si>
  <si>
    <t>Cardiovascular effects and disrythmia, can be fatal. Irritating to the eyes and respiratory tract.</t>
  </si>
  <si>
    <t>Lithium Hydroxide Monohydrate</t>
  </si>
  <si>
    <t>Additive for grease production</t>
  </si>
  <si>
    <t>1310-66-3</t>
  </si>
  <si>
    <t>Sodium Borohydride</t>
  </si>
  <si>
    <t xml:space="preserve"> Catalyst preparation and handling. Exposure to particulates.</t>
  </si>
  <si>
    <t>16940-66-2</t>
  </si>
  <si>
    <t>Sodium Sulfide (Flakes) - May Offgas H2S</t>
  </si>
  <si>
    <t>Waste gas stream, sour crude oil, condensates, bitumen and fuel oil tank head spaces, untreated kerosine, sour fuel gas</t>
  </si>
  <si>
    <t>1313-82-2</t>
  </si>
  <si>
    <t>Brines</t>
  </si>
  <si>
    <t>Water treatment for boiler feed water, produced water from hydrocarbon production, well kill fluid, packer fluids.</t>
  </si>
  <si>
    <t>skin and respiratory irritation, reproductive effect</t>
  </si>
  <si>
    <t>Hydrogen Peroxide</t>
  </si>
  <si>
    <t xml:space="preserve">Hydrogen peroxide used as an oxidizer in waste water treatment plant.  </t>
  </si>
  <si>
    <t>Burns to skin, eyes and respiratory tract. Severe cases can lead to pulmonary edema and death</t>
  </si>
  <si>
    <t>Lung impairment, bleaching of hair.</t>
  </si>
  <si>
    <t>Hydrogen sulfide containing streams with H2S &lt; 1000 ppm mole (600 mg/kg) and &lt; 100 ppm vapour space</t>
  </si>
  <si>
    <t>Fuel gas streams, sour hydrogen, acid gas,  spent caustics, sewers</t>
  </si>
  <si>
    <t>Bacteria - Leptospirosis (causes Weil's disease) (waterborne)</t>
  </si>
  <si>
    <t>Contact with water contaminated with the urine from infected rats &amp; cows, e.g. sewers, ditches, ponds and slow-flowing rivers, rural areas. (windfarms)</t>
  </si>
  <si>
    <t>Weil's disease. Flu-like illness with a persistent and severe headache, sometimes fatal</t>
  </si>
  <si>
    <t>Virus - Rabies</t>
  </si>
  <si>
    <t>Lick, scratch or bite from an animal infected with rabies</t>
  </si>
  <si>
    <t>Can be fatal within days, starting with headache and general malaise.</t>
  </si>
  <si>
    <t>Alcohols</t>
  </si>
  <si>
    <t>Isopropyl alcohol, methanol, ethanol, normal propyl alcohol</t>
  </si>
  <si>
    <t>Irritation to skin, mucous membranes and respiratory tract. Narcotic at high concentrations. Methanol can cause blindness.</t>
  </si>
  <si>
    <t>Ethanol may cause physical dependence, dermatitis, liver damage</t>
  </si>
  <si>
    <t>Fungi - mold growth, or bioaerosols</t>
  </si>
  <si>
    <t>Buildings with high humidity, water damaged building material, or poorly maintained HVAC systems; mold or fungus growth in crops, hay rural settings</t>
  </si>
  <si>
    <t>Farmer's lung, respiratory allergy, humidifier fever, respiratory irritation</t>
  </si>
  <si>
    <t>Respiratory allergy, farmers lung, humidifier fever, respiratory irritation.</t>
  </si>
  <si>
    <t>Chloroform</t>
  </si>
  <si>
    <t>Solvent</t>
  </si>
  <si>
    <t>67-66-3</t>
  </si>
  <si>
    <t xml:space="preserve"> Inhalation causes headache, nausea, unconsciousness and respiratory failure. Fatal by ingestion. Irritant to eyes, skin and respiratory tract.</t>
  </si>
  <si>
    <t>Possibly carcinogenic to humans (IARC 2B), dermatitis, effects on liver and kidneys.</t>
  </si>
  <si>
    <t>Chromium (III)</t>
  </si>
  <si>
    <t>Welding, Catalyst production additives and processes</t>
  </si>
  <si>
    <t>Skin sensitizer</t>
  </si>
  <si>
    <t>Perchloroethylene</t>
  </si>
  <si>
    <t>Ingredient in stainless steel cleaners.</t>
  </si>
  <si>
    <t>Probably carcinogenic to humans (IARC 2A), liver damage, dermatitis</t>
  </si>
  <si>
    <t>Phenothiazine</t>
  </si>
  <si>
    <t>Lubricants additives</t>
  </si>
  <si>
    <t>92-84-2</t>
  </si>
  <si>
    <t>Platinum</t>
  </si>
  <si>
    <t>Catalyst  handling</t>
  </si>
  <si>
    <t>7440-06-4</t>
  </si>
  <si>
    <t>May cause allergic reaction, chest pains or difficult breathing.</t>
  </si>
  <si>
    <t>Glycols: ethylene, diethylene, triethylene, hexylene, monopropylene and dipropylene glycol</t>
  </si>
  <si>
    <t xml:space="preserve"> Anti-freeze</t>
  </si>
  <si>
    <t>severely irritant to eyes, mildly irritant to skin, moderately irritant to lungs. May affect CNS, liver and kidneys</t>
  </si>
  <si>
    <t>Damage to kidneys</t>
  </si>
  <si>
    <t>Other - Insects, Spiders, Scorpions, Bees</t>
  </si>
  <si>
    <t>Sting/bite from e.g. bees, wasps, scorpions, fire ants, certain spiders</t>
  </si>
  <si>
    <t>Irritation, inflammation, poisoning</t>
  </si>
  <si>
    <t>Allergic reaction, secondary infection, anaphylactic shock</t>
  </si>
  <si>
    <t>Other - Plants, Poisonous</t>
  </si>
  <si>
    <t>Contact with poisonous plants, e.g., poison ivy, oak, or sumac, deadly nightshade, fungi or similar</t>
  </si>
  <si>
    <t>Irritation of skin and eyes, contact dermatitis.</t>
  </si>
  <si>
    <t>Contact dermatitis, Allergic sensitization.</t>
  </si>
  <si>
    <t>Acetaldehyde gas (0.1% or greater)</t>
  </si>
  <si>
    <t>Detergent inhibitor found in heavy duty diesel</t>
  </si>
  <si>
    <t>75-07-0</t>
  </si>
  <si>
    <t xml:space="preserve"> Irritant to eyes, skin, and respiratory tract. Exposure to high concentrations may cause permanent eye injury, pulmonary edema and respiratory paralysis.</t>
  </si>
  <si>
    <t>Possibly carcinogenic to humans (IARC 2B), dermatitis</t>
  </si>
  <si>
    <t>Amines [e.g., Ethylenediamine (1,2-Diaminoethane), methylamine, diethylamine, mono-, di-,  and tri-ethanolamine ]</t>
  </si>
  <si>
    <t>Found n Epoxy resin curing systems</t>
  </si>
  <si>
    <t>Moderate/severe irritant to skin, eye and respiratory tract; absorbed through skin</t>
  </si>
  <si>
    <t>Skin &amp; respiratory sensitizer; repeated overexposure may produce liver, kidney damage</t>
  </si>
  <si>
    <t>Bisphenol A (4,4'-Isopropylidenebisphenol)</t>
  </si>
  <si>
    <t xml:space="preserve">Material for compounding epoxy resins, </t>
  </si>
  <si>
    <t>80-05-7</t>
  </si>
  <si>
    <t>Skin and respiratory sensitizer</t>
  </si>
  <si>
    <t>Boric acid</t>
  </si>
  <si>
    <t>10043-35-3</t>
  </si>
  <si>
    <t>Irritant to eyes, skin and respiratory tract.  May effect GI tract, liver and kidneys.</t>
  </si>
  <si>
    <t>Possible effect on human reproduction.  Dermatitis.</t>
  </si>
  <si>
    <t>Brake Fluid</t>
  </si>
  <si>
    <t>Vehicle maintenance, Can contain: Triethylene glycol monobutyl ether, Polyethylene Glycol</t>
  </si>
  <si>
    <t>Severe eye irritant.  Harmful or fatal if swallowed.</t>
  </si>
  <si>
    <t>Liver and kidney damage.  Reproductive effects</t>
  </si>
  <si>
    <t>Catalyst - Cobalt</t>
  </si>
  <si>
    <t>Desulfurizing catalyst</t>
  </si>
  <si>
    <t>Sensitizer, possibly carcinogenic to humans (IARC 2B), effects on kidneys.</t>
  </si>
  <si>
    <t>Catalyst - Copper chromite</t>
  </si>
  <si>
    <t>Found in Catalyst systems</t>
  </si>
  <si>
    <t>Irritant to eyes and skin</t>
  </si>
  <si>
    <t>Diesel, Distillates, Gas Oils and Heating Oils</t>
  </si>
  <si>
    <t xml:space="preserve"> Vehicle, generator fuel, metal cleaning</t>
  </si>
  <si>
    <t>Slight irritant to eyes and on inhalation of mist</t>
  </si>
  <si>
    <t>Defatting of the skin,  dermatitis</t>
  </si>
  <si>
    <t>Drilling Mud &amp; Additives</t>
  </si>
  <si>
    <t>Oil based muds, pseudo-oil based muds, water based muds, barium sulfate, calcium carbonate, bentonite, sulfonic acid salts, fatty acids, used in O&amp;G Sector</t>
  </si>
  <si>
    <t>Dermatitis.  Repeated inhalation may cause lung damage</t>
  </si>
  <si>
    <t>Epoxy resins (liquid and solid)</t>
  </si>
  <si>
    <t>Making of composites, use of adhesives, expoxy based paints, resin products e.g. Epikote</t>
  </si>
  <si>
    <t>Irritation to the eyes (mechanical), skin, and respiratory tract</t>
  </si>
  <si>
    <t>Sensitizer, and effects on lungs.</t>
  </si>
  <si>
    <t>Ethylene Diamine</t>
  </si>
  <si>
    <t xml:space="preserve"> Epoxy resin curing systems, Corrosion inhibiter</t>
  </si>
  <si>
    <t>107-15-3</t>
  </si>
  <si>
    <t>Skin sensitization, asthma, dermatitis, liver and kidney damage</t>
  </si>
  <si>
    <t>Flour Dust</t>
  </si>
  <si>
    <t>Baking, catering and kitchen work</t>
  </si>
  <si>
    <t>Nuisance dust, mild upper respiratory irritation.</t>
  </si>
  <si>
    <t>Sensitizer, "Baker's Asthma"</t>
  </si>
  <si>
    <t>Glutaraldehyde</t>
  </si>
  <si>
    <t>Cleaner and disinfectant</t>
  </si>
  <si>
    <t>111-30-8</t>
  </si>
  <si>
    <t>Corrosive to eyes, severe irritant to skin and respiratory tract.</t>
  </si>
  <si>
    <t>Heavy Fuel oils</t>
  </si>
  <si>
    <t>Heavy fuel oils,  bunkers, heating systems, storage tanks</t>
  </si>
  <si>
    <t>Defatting to skin; slight irritant to eyes and on inhalation of mist</t>
  </si>
  <si>
    <t>Hexane (n-Hexane)</t>
  </si>
  <si>
    <t>Component of naphtha and gasolines</t>
  </si>
  <si>
    <t>110-54-3</t>
  </si>
  <si>
    <t>Irritant to skin, eyes and respiratory tract, narcotic effect.</t>
  </si>
  <si>
    <t>Peripheral neuropathy. EU Risk Category 3 Reprotoxin</t>
  </si>
  <si>
    <t>Hydroquinone</t>
  </si>
  <si>
    <t>Photographic film developer used for XRay Film in Medical Clinic</t>
  </si>
  <si>
    <t>123-31-9</t>
  </si>
  <si>
    <t>Severe eye and skin irritation.</t>
  </si>
  <si>
    <t>Skin sensitization and dermatitis, effects on eyes and skin causing discolouration, limited evidence of carcinogenicity (IARC 3)</t>
  </si>
  <si>
    <t>Isophorone</t>
  </si>
  <si>
    <t>Used as a solvent for vinyl resins and cellulose esters</t>
  </si>
  <si>
    <t>78-59-1</t>
  </si>
  <si>
    <t>Irritant to eyes, skin and respiratory tract. Effects on CNS</t>
  </si>
  <si>
    <t>Confirmed animal carcinogen (ACGIH A3)  with unknown relevance to humans</t>
  </si>
  <si>
    <t xml:space="preserve">Lubricant, Grease and Bitumen Additives </t>
  </si>
  <si>
    <t xml:space="preserve">Additives such as Hydrogenated tallow alkyl dimethyl amines, Alkenyl Amines, Butylated Hydroxytoluene (BHT) </t>
  </si>
  <si>
    <t>Severe irritant to eyes, skin and respiratory tract</t>
  </si>
  <si>
    <t>Skin sensitizing,  dermatitis, effects on CNS, limited evidence of carcinogenicity (IARC 3).</t>
  </si>
  <si>
    <t>Manganese (dust)</t>
  </si>
  <si>
    <t>Grinding, polishing of metal parts</t>
  </si>
  <si>
    <t>7439-96-5</t>
  </si>
  <si>
    <t>Bronchitis, pneumonitis and neurologic, neuropsychiatric disorders (manganism),   possible toxicity to human reproduction.</t>
  </si>
  <si>
    <t>Manganese (fume)</t>
  </si>
  <si>
    <t>Mechanical irritation to eyes, skin, and respiratory tract</t>
  </si>
  <si>
    <t>Lung diseases and neuropsychiatric disorders (managanism).  Possible effect on human reproduction.</t>
  </si>
  <si>
    <t>Mercury</t>
  </si>
  <si>
    <t>Manometers, thermometers and crude oil and gas processing in O&amp;G Sector</t>
  </si>
  <si>
    <t>7439-97-6</t>
  </si>
  <si>
    <t>Acute poisoning, neurological effects</t>
  </si>
  <si>
    <t>Effects on kidneys and central nervous system, emotional and pyschological disturbances, effects on reproduction.</t>
  </si>
  <si>
    <t>Methylene Bis (4 Phenyl) Isocyanate</t>
  </si>
  <si>
    <t>Paint spraying, curring agent</t>
  </si>
  <si>
    <t>101-68-8</t>
  </si>
  <si>
    <t>Irritating to the eyes, skin and respiratory tract, can cause impaired lung function.</t>
  </si>
  <si>
    <t>Skin sensitization and asthma.</t>
  </si>
  <si>
    <t>Methylene Chloride, Dichloromethane</t>
  </si>
  <si>
    <t xml:space="preserve"> Found in paint strippers.</t>
  </si>
  <si>
    <t>75-09-2</t>
  </si>
  <si>
    <t>Irritation of eyes, skin and respiratory tract, nervous system effects, narcotic effect.</t>
  </si>
  <si>
    <t>IARC 2B Possible human carcinogen, effects on liver and CNS, dermatitis.</t>
  </si>
  <si>
    <t>Molybdenum (soluble compounds)</t>
  </si>
  <si>
    <t>Salts from Welding, Arc welding</t>
  </si>
  <si>
    <t>Confirmed animal carcinogen with unknown relevance to humans (ACGIH A3)</t>
  </si>
  <si>
    <t>Nickel (metal, elemental)</t>
  </si>
  <si>
    <t>Welding fume, grinding metal, catalyst handling and production</t>
  </si>
  <si>
    <t>Toxic upon inhalation, may cause pneumonitis.</t>
  </si>
  <si>
    <t>Possibly carcinogenic to humans (IARC 2B), skin and respiratory sensitizer, asthma, lung impairment.</t>
  </si>
  <si>
    <t>Nitrous Oxide</t>
  </si>
  <si>
    <t>In welding gas</t>
  </si>
  <si>
    <t>10024-97-2</t>
  </si>
  <si>
    <t>Euphoria, drowsiness, unconsciousness</t>
  </si>
  <si>
    <t>Bone marrow and peripheral nervous system effects, reproductive toxicity.</t>
  </si>
  <si>
    <t>Palladium</t>
  </si>
  <si>
    <t>Found in Catlysts</t>
  </si>
  <si>
    <t>Propylene glycols, including DPG, TPG</t>
  </si>
  <si>
    <t>Anti-sieze products, welding electrodes, grinding and cutting wheels, some catalysts</t>
  </si>
  <si>
    <t>Irritant to eyes and respiratory tract on inhalation of mist</t>
  </si>
  <si>
    <t>Rosin Core Solder</t>
  </si>
  <si>
    <t>Soldering with rosin core solder</t>
  </si>
  <si>
    <t>Irritation of eyes and mucus membranes.  Lung damage, pulmonary oedema.</t>
  </si>
  <si>
    <t>Respiratory sensitisation, Asthma, Potential carcinogens released.</t>
  </si>
  <si>
    <t>Trichloroethylene</t>
  </si>
  <si>
    <t>Workshops, small quantities only, maintenance activities</t>
  </si>
  <si>
    <t>79-01-6</t>
  </si>
  <si>
    <t>Irritation eyes, skin; headache, dizziness, tremor, drowsiness, nausea, vomiting</t>
  </si>
  <si>
    <t>Dermatitis; liver injury; animal carcinogen</t>
  </si>
  <si>
    <t>Vanadium pentoxide (respirable dust or fume)</t>
  </si>
  <si>
    <t xml:space="preserve">Waste, Oil-fired furnace residue, in some catalysts, also in Petrolium Coke ash </t>
  </si>
  <si>
    <t>1314-62-1</t>
  </si>
  <si>
    <t>Irritant to skin, eyes and respiratory tract. May cause pulmonary edema. Green tongue</t>
  </si>
  <si>
    <t>Possibly carcinogenic to humans (IARC 2B).  Rhinitis, bronchitis, green tongue.</t>
  </si>
  <si>
    <t>Latex</t>
  </si>
  <si>
    <t>Surgical gloves, PPE</t>
  </si>
  <si>
    <t>Irritation, inflammation</t>
  </si>
  <si>
    <t>Sensitizer:  Skin rashes, hives, sinus symptoms, asthma.</t>
  </si>
  <si>
    <t>Caustics (strong alkalis) pH &gt; 11.5</t>
  </si>
  <si>
    <t>e.g. Caustic soda (NaOH), Potassium hydroxide, Ammonium hydroxide, Sodium hydroxide, Lab reagent, water treatment chemical,</t>
  </si>
  <si>
    <t>Potassium</t>
  </si>
  <si>
    <t>Metal</t>
  </si>
  <si>
    <t>Sodium</t>
  </si>
  <si>
    <t>Unlikely in Outage work</t>
  </si>
  <si>
    <t>7440-23-5</t>
  </si>
  <si>
    <t>Bacteria - Food and water borne pathogens</t>
  </si>
  <si>
    <t>Contaminated food/water with bacteria e.g. salmonella, campylobacter, e. coli. or fungi. Examples of sources: sale of perishable food</t>
  </si>
  <si>
    <t>Food poisoning; hepatitis A, amoebic dysentery, giardiasis, typhoid, cholera</t>
  </si>
  <si>
    <t>Carrier of disease without having symptoms</t>
  </si>
  <si>
    <t xml:space="preserve">n/a </t>
  </si>
  <si>
    <t>Virus - Colds, Influenza, and Norovirus</t>
  </si>
  <si>
    <t>Exposure to communicable virus in work environment, living quarters, offshore platforms and remote project locations</t>
  </si>
  <si>
    <t>Headache, nausea and vomiting, malaise, GI and respiratory effects.</t>
  </si>
  <si>
    <t>Methyl Tert Butyl Ether (MTBE)</t>
  </si>
  <si>
    <t xml:space="preserve"> Fuel additive for gasoline</t>
  </si>
  <si>
    <t>1634-04-4</t>
  </si>
  <si>
    <t>Dermatitis, Animal carcinogen IARC 3</t>
  </si>
  <si>
    <t>Seasonal Affective Disorder</t>
  </si>
  <si>
    <t>Lack of sunlight, usually in winter months, or night shift work</t>
  </si>
  <si>
    <t>Increased appetite, hypersomnia, lethargy, loss of concentration</t>
  </si>
  <si>
    <t>Depression, absenteeism</t>
  </si>
  <si>
    <t xml:space="preserve">Both impact (acute) and background (chronic) releases from relief valves, pressure control valves, engine rooms, compressor rooms, pump, rotating equipment </t>
  </si>
  <si>
    <t>Loud steady noise: temporary threshold shift. Impact noise: rupture of eardrum; acoustic trauma.</t>
  </si>
  <si>
    <t>Noise induced hearing loss (permanent threshold shift); tinnitus (ringing in ears)</t>
  </si>
  <si>
    <t>Methanol</t>
  </si>
  <si>
    <t>67-56-1</t>
  </si>
  <si>
    <t>Irritant to skin, eyes, respiratory tract.  CNS effects, unconsciousness.</t>
  </si>
  <si>
    <t>Dermatitis, persistent or recurring headaches, impaired vision</t>
  </si>
  <si>
    <t>Other  - Sexually Transmitted Diseases (other than HIV)</t>
  </si>
  <si>
    <t>Unprotected sexual contact with an infected partner</t>
  </si>
  <si>
    <t>Genito-urinary diseases depending on agent</t>
  </si>
  <si>
    <t>Reproductive, nervous system, and genito-urinary disease</t>
  </si>
  <si>
    <t>Acrolein</t>
  </si>
  <si>
    <t>Plastic Pyrosis from some polymers and fires</t>
  </si>
  <si>
    <t>107-02-8</t>
  </si>
  <si>
    <t>Severely irritiating to eyes and respiratory tract, tearing, delayed oedema.</t>
  </si>
  <si>
    <t>Decreased respiratory function, chronic respiratory disease.</t>
  </si>
  <si>
    <t>Pressure - Hypobaric Operations</t>
  </si>
  <si>
    <t>Working at high altitude (generally &gt;2000 meters)</t>
  </si>
  <si>
    <t>Dizziness, shortness of breath</t>
  </si>
  <si>
    <t>Pulmonary oedema, death</t>
  </si>
  <si>
    <t>Sodium Nitrite</t>
  </si>
  <si>
    <t>7632-00-0</t>
  </si>
  <si>
    <t>Lower blood pressure and methaemoglobin formation.  Can be fatal.</t>
  </si>
  <si>
    <t>Sodium Biselenite</t>
  </si>
  <si>
    <t>Laboratory chemical</t>
  </si>
  <si>
    <t>7782-82-3</t>
  </si>
  <si>
    <t>Toxic by inhalation and if swallowed. Danger of cumulative effects.</t>
  </si>
  <si>
    <t>Silver (soluble compounds)</t>
  </si>
  <si>
    <t>Catalyst process silver solution</t>
  </si>
  <si>
    <t>Discolouring of eyes,  nose, throat and skin. Lung damage, pulmonary oedema.</t>
  </si>
  <si>
    <t>Residue Ash</t>
  </si>
  <si>
    <t>Boilers</t>
  </si>
  <si>
    <t>Irritant to eye. Contact with hot material causes thermal burns. Mist irritating to respiratory tract</t>
  </si>
  <si>
    <t>Nitrogen oxides</t>
  </si>
  <si>
    <t>Welding gas, engine exhaust, fires and explosions</t>
  </si>
  <si>
    <t>Severe lung irritant, delayed chemical pneumonitis.</t>
  </si>
  <si>
    <t>Effects immune system and lungs, decreased resistance to infection, effect on reproduction.</t>
  </si>
  <si>
    <t>Corrosion and Scale Inhibitors</t>
  </si>
  <si>
    <t>Products may contain hydrochloric acid, isopropanol, quarternary ammonia coumpounds, methanol, Phosphoric acid, Ethylene, sodium phospahate, boiler feed water and stream systems</t>
  </si>
  <si>
    <t>Corrosive to skin, eyes and respiratory tract. Can cause kidney failure, brain damage or blindness.</t>
  </si>
  <si>
    <t>Defatting of the skin, dermatitis.  Effects on CNS.</t>
  </si>
  <si>
    <t>Air pollution (environmental health hazard)</t>
  </si>
  <si>
    <t>Business travel to areas with significant air pollution</t>
  </si>
  <si>
    <t>Respiratory tract irritation; aggravation of asthma</t>
  </si>
  <si>
    <t>Respiratory irritation, increase in allergic symptoms and asthma</t>
  </si>
  <si>
    <t>Asphalt Fume</t>
  </si>
  <si>
    <t>Asphalt or bitumen activities such as   roofing work</t>
  </si>
  <si>
    <t>8052-42-4</t>
  </si>
  <si>
    <t>Benz (A) Anthracene</t>
  </si>
  <si>
    <t>Oil combustion, also in  petroleum Coke</t>
  </si>
  <si>
    <t>56-55-3</t>
  </si>
  <si>
    <t>Benzo (B) Fluoroanthene</t>
  </si>
  <si>
    <t>205-99-2</t>
  </si>
  <si>
    <t>IARC 2B Possible human carcinogen, may cause genetic damage</t>
  </si>
  <si>
    <t>Benzo (GHI) Perylene</t>
  </si>
  <si>
    <t>191-24-2</t>
  </si>
  <si>
    <t>IARC 3 animal carcinogen</t>
  </si>
  <si>
    <t>Biphenyl</t>
  </si>
  <si>
    <t xml:space="preserve">Component of some heat transfer fluids </t>
  </si>
  <si>
    <t>92-52-4</t>
  </si>
  <si>
    <t>Liver and nervous system effects</t>
  </si>
  <si>
    <t>Bitumen and bitumen derivatives</t>
  </si>
  <si>
    <t>Water proofing</t>
  </si>
  <si>
    <t>Irritant to skin, eyes and respiratory tract, skin burns from hot material</t>
  </si>
  <si>
    <t>Calcium Hydroxide</t>
  </si>
  <si>
    <t>Lubricants pre-blend and blending area</t>
  </si>
  <si>
    <t>Burns and irritation of the skin, eyes, and respiratory tract</t>
  </si>
  <si>
    <t>Dermatitis, effects on lung function</t>
  </si>
  <si>
    <t>Chlorinated Chemical - Solvents (NOC)</t>
  </si>
  <si>
    <t>Workshops, Labs, small quantities only, maintenance activities</t>
  </si>
  <si>
    <t>Irritation of the eyes and skin, headache, nausea.</t>
  </si>
  <si>
    <t>Liver injury, some are potential carcinogens</t>
  </si>
  <si>
    <t>Copper (dust and mist)</t>
  </si>
  <si>
    <t>Welding, brazing and arc gouging, Copper carbonate (CuCO3) in catalyst processing</t>
  </si>
  <si>
    <t>7440-50-8</t>
  </si>
  <si>
    <t>Metal fume fever (may be delayed), irritating to the respiratory tract.</t>
  </si>
  <si>
    <t>Copper (fume)</t>
  </si>
  <si>
    <t>Welding, brazing and arc gouging</t>
  </si>
  <si>
    <t>1317-38-0</t>
  </si>
  <si>
    <t>Copper Sulfate</t>
  </si>
  <si>
    <t>Wood preservatives, coal tars and some crude oils, wood pyrosis</t>
  </si>
  <si>
    <t>7758-98-7</t>
  </si>
  <si>
    <t>Severely irritating to the skin, eyes, and respiratory system</t>
  </si>
  <si>
    <t>Cresol (all isomers)</t>
  </si>
  <si>
    <t>Corrosive to the eyes, the skin and the respiratory tract, lung oedema, effects on the CNS, lungs, kidneys and liver.</t>
  </si>
  <si>
    <t>Dermatitis, effects on blood and CNS, anaemia.</t>
  </si>
  <si>
    <t>Cyclohexane</t>
  </si>
  <si>
    <t>Component in formulated gasoline and napththas, paints, inks, rubber</t>
  </si>
  <si>
    <t>110-82-7</t>
  </si>
  <si>
    <t>Irritant to eyes and respiratory tract. Nausea, dizziness</t>
  </si>
  <si>
    <t>Dichloroethane, 1,1</t>
  </si>
  <si>
    <t xml:space="preserve"> Degreasers and solvents in  workshops, or process areas during maintenance.</t>
  </si>
  <si>
    <t>75-34-3</t>
  </si>
  <si>
    <t>Defatting of skin, dermatits, liver and kidney damage</t>
  </si>
  <si>
    <t>Diesel Fuel</t>
  </si>
  <si>
    <t>Storage tanks, vehicle fuelling stations,  vehicle maintenance area. Portable and Temporary Generators</t>
  </si>
  <si>
    <t>68476-34-6</t>
  </si>
  <si>
    <t>Dimethylsulfoxide</t>
  </si>
  <si>
    <t>67-68-5</t>
  </si>
  <si>
    <t>Dermatitis, effects on liver and blood.</t>
  </si>
  <si>
    <t>Ethanol (ethyl alcohol)</t>
  </si>
  <si>
    <t xml:space="preserve"> Gasoline, solvent, cleaner</t>
  </si>
  <si>
    <t>64-17-5</t>
  </si>
  <si>
    <t>Physical dependency, Liver damage</t>
  </si>
  <si>
    <t>Ethyl chloride</t>
  </si>
  <si>
    <t>Lab reagent, inhibitor</t>
  </si>
  <si>
    <t>75-00-3</t>
  </si>
  <si>
    <t>Irritation to skin, mucous membranes and respiratory tract. Narcotic at high concentrations. Potent promoter of cardiac arrhythmias</t>
  </si>
  <si>
    <t>Fluoranthene</t>
  </si>
  <si>
    <t>Fluorene</t>
  </si>
  <si>
    <t>Fluorides</t>
  </si>
  <si>
    <t xml:space="preserve">Including potassium and sodum fluoride,  used for adhesive preservation </t>
  </si>
  <si>
    <t>Irritating to the eyes, the skin and the respiratory tract. Can cause hypocalcaemia, hypokalaemia, CNS and cardiac disorders</t>
  </si>
  <si>
    <t>Heptane</t>
  </si>
  <si>
    <t>142-82-5</t>
  </si>
  <si>
    <t>Dermatitis, effects on liver</t>
  </si>
  <si>
    <t>Hydraulic and Heat Transfer Fluids</t>
  </si>
  <si>
    <t>Hydraulic fluid, hydraulic oil, heat transfer fluids such as Thermia B.  Includes diethylebenzene, heating bath oil.</t>
  </si>
  <si>
    <t>Mildly irritation to skin, eyes, respiratory tract</t>
  </si>
  <si>
    <t>Hydrocarbons, VOC (total vapor)</t>
  </si>
  <si>
    <t xml:space="preserve">Any volatile petrochemicals </t>
  </si>
  <si>
    <t>Narcotic effect, CNS depression, irritant to eyes and respiratory tract.</t>
  </si>
  <si>
    <t>Effects on liver, kidney and CNS, peripheral neuropathy.</t>
  </si>
  <si>
    <t>Lubricant, Grease (additives)</t>
  </si>
  <si>
    <t xml:space="preserve">Additives: Triphenyl phosphate, zinc alkyl dithiophosphates, calcium sulphonate, diphenylamine, hydroxyalkylcarboxylic esters, </t>
  </si>
  <si>
    <t>Nervous system effects from cholinesterase inhibition.  Effect on kidneys, liver and red blood cells.   Dermatitis.</t>
  </si>
  <si>
    <t>Methyl ethyl ketone (MEK)</t>
  </si>
  <si>
    <t>Solvent in paints, adhesives, parts cleaners and used in the labo</t>
  </si>
  <si>
    <t>78-93-3</t>
  </si>
  <si>
    <t>Peripheral neuropathy, dermatitis, possible effect on reproduction.</t>
  </si>
  <si>
    <t>Molybdenum (metal and insoluble compounds)</t>
  </si>
  <si>
    <t>Catalyst component, grease component, welding</t>
  </si>
  <si>
    <t>7439-98-7</t>
  </si>
  <si>
    <t>Anorexia, diarrhea, weight loss; listlessness; liver, kidney damage</t>
  </si>
  <si>
    <t>Naphthalene</t>
  </si>
  <si>
    <t>91-20-3</t>
  </si>
  <si>
    <t>Haemolysis of blood cells, blood in urine, damage to eyes, respiratory irritation.</t>
  </si>
  <si>
    <t>Carcinogen IARC 2B,  haemolytic anaemia and cataracts</t>
  </si>
  <si>
    <t>Organic Peroxides</t>
  </si>
  <si>
    <t>Lab chemicals and chemical plant intermediates such as:  Ethylbenzene hydroperoxide</t>
  </si>
  <si>
    <t>Possible Mutagen (EU Cat. 3), Possible risk of irreversible effects.</t>
  </si>
  <si>
    <t>Oxalic Acid</t>
  </si>
  <si>
    <t>Catalyst</t>
  </si>
  <si>
    <t>144-62-7</t>
  </si>
  <si>
    <t>Corrosive to skin, eyes and respiratory tract, can result in pulmonary oedema and death, can effect kidneys.</t>
  </si>
  <si>
    <t>Dermatitis, kidney stones.</t>
  </si>
  <si>
    <t>Petroleum distillate products (eg sol 100, X55, white spirits)</t>
  </si>
  <si>
    <t>Solvent Products which Contain a mixture of naptha or/and n-hexane or/and aromatics (eg xylene, ethylbenzene, trimethylbenzene, toluene</t>
  </si>
  <si>
    <t>Irritating to respiratory tract, eyes and skin; CNS depression.</t>
  </si>
  <si>
    <t>Dermatitis, effects on liver, kidney, CNS, peripheral neuropathy, limited evidence of carcinogenic effect.</t>
  </si>
  <si>
    <t>Residues (Petroleum), Vacuum (viscous, semi-solid), See also H2S conventions if resid is sour</t>
  </si>
  <si>
    <t>Vacuum Flasher Pitch, Vacuum Tower Bottoms</t>
  </si>
  <si>
    <t>Rodenticides, herbicides, insecticides</t>
  </si>
  <si>
    <t>Commercial application, handling accident</t>
  </si>
  <si>
    <t>Systemic poisoning, illness. Confirm individual product hazards.</t>
  </si>
  <si>
    <t>Systemic poisoning, illness. Confirm individual product hazards</t>
  </si>
  <si>
    <t>Silver and insoluble compounds</t>
  </si>
  <si>
    <t>Silver based catalyst</t>
  </si>
  <si>
    <t>7440-22-4</t>
  </si>
  <si>
    <t>Slop  and Waste Oils</t>
  </si>
  <si>
    <t>Generally will contain variable percentages of H2S, benzene, and PCAHs, also waste stream</t>
  </si>
  <si>
    <t>Irritation of the eyes, skin and respiratory tract, CNS depression</t>
  </si>
  <si>
    <t>Defatting of the skin, toxic to kidney, liver, blood forming organs</t>
  </si>
  <si>
    <t>Sodium hypochlorite (bleach)</t>
  </si>
  <si>
    <t>Used in place of chlorine in cooling towers and for chlorinating drinking water</t>
  </si>
  <si>
    <t>7681-52-9</t>
  </si>
  <si>
    <t>Severe eye irritant, corrosive to mucous membranes, choking, coughing, pulmonary edema</t>
  </si>
  <si>
    <t>Solvents / Degreasers</t>
  </si>
  <si>
    <t>Use of degreasers and other solvents in workshops, or process areas during maintenance and other tasks.  Includes  various "safety s</t>
  </si>
  <si>
    <t>Spec-aid 8Q50. Contains solvent naphtha, naphthalene (11-15%), heavy aromatic naphtha</t>
  </si>
  <si>
    <t>Norco proprietary product. Pour point depressant.</t>
  </si>
  <si>
    <t>Severe eye irritant. Moderate skin irritant. Dizziness, headache and nausea on inhalation.</t>
  </si>
  <si>
    <t>Contact dermatitis, naphthalene is possibly carcinogenic (IARC 2B), may cause chronic haemolytic anaemia</t>
  </si>
  <si>
    <t>Sulfur</t>
  </si>
  <si>
    <t>Sulfur loading (trucks and rail), sulfur rundowns, sulfur pits, stacks, sulfur spill, pyrophoric burning, sulfur fire</t>
  </si>
  <si>
    <t>Irritating to the eyes and skin, can inflame the respiratory tract. May off gas H2S and SO2.</t>
  </si>
  <si>
    <t>Dermatitis and chronic bronchitis.</t>
  </si>
  <si>
    <t>Tert-Butyltoluene (p-TBT)</t>
  </si>
  <si>
    <t xml:space="preserve">Catalyst </t>
  </si>
  <si>
    <t>98-51-1</t>
  </si>
  <si>
    <t>Irritating to eyes, skin and on inhalation. Narcotic at high concentrations</t>
  </si>
  <si>
    <t>Effects on central nervous system resulting in tissue lesions.</t>
  </si>
  <si>
    <t>Tin (inorganic)</t>
  </si>
  <si>
    <t>Welding, brazing, arc gouging</t>
  </si>
  <si>
    <t>7440-31-5</t>
  </si>
  <si>
    <t>Mechanical irritation of eyes, skin and respiratory tract from dust</t>
  </si>
  <si>
    <t>Benign pneumonconiosis (stannosis)</t>
  </si>
  <si>
    <t>Toluene</t>
  </si>
  <si>
    <t>Marketed product, Lab reagent; Lubricants pre-blend and blending area</t>
  </si>
  <si>
    <t>108-88-3</t>
  </si>
  <si>
    <t>Tungsten (soluble)</t>
  </si>
  <si>
    <t xml:space="preserve"> Welding, brazing and arc gouging</t>
  </si>
  <si>
    <t>7440-33-7</t>
  </si>
  <si>
    <t>Diffuse pulmonary fibrosis; loss of appetite, nausea, cough; blood changes</t>
  </si>
  <si>
    <t>Vinyl Acetate Monomer</t>
  </si>
  <si>
    <t>108-05-4</t>
  </si>
  <si>
    <t>Wood Dust- Soft</t>
  </si>
  <si>
    <t>Carpentry, forest and brush clearing of soft woods (other than western red cedar, oak, beech, birch, mahogony, teak and walnut)</t>
  </si>
  <si>
    <t>NIR - Infrared (IR) - wavelength 400 - 1400 nm</t>
  </si>
  <si>
    <t>Heat sources, e.g. gas welding, sunlight, furnaces (peep holes), flares, laser pointers</t>
  </si>
  <si>
    <t>Eye and skin damage</t>
  </si>
  <si>
    <t>Cataracts</t>
  </si>
  <si>
    <t>Pressure - Hyperbaric Operations</t>
  </si>
  <si>
    <t>Unlikely, in FieldCore, except Tunnel boring.</t>
  </si>
  <si>
    <t>Nitrogen narcosis, decompression illness, increased vulnerability to toxic atmospheres</t>
  </si>
  <si>
    <t>Osteoporosis, increased vulnerability to toxic atmospheres</t>
  </si>
  <si>
    <t>Fungi - Histoplasma Capsulatum</t>
  </si>
  <si>
    <t>Contact with bird droppings</t>
  </si>
  <si>
    <t>Histoplasmosis, primary risk is to persons with impared immune systems</t>
  </si>
  <si>
    <t>Alcohol ethoxylates</t>
  </si>
  <si>
    <t>Neodol and Neodol Chemical - Alcohol ethoxylates</t>
  </si>
  <si>
    <t>Monodiethanolamine (MDEA)</t>
  </si>
  <si>
    <t>Production operations, Maintenance activities, in storage gas sweetening in process equipment</t>
  </si>
  <si>
    <t>Severe skin and eye irritant</t>
  </si>
  <si>
    <t>Propylene</t>
  </si>
  <si>
    <t>Process stream, feedstock, lab reagent, commercial product</t>
  </si>
  <si>
    <t>115-07-1</t>
  </si>
  <si>
    <t>(See Simple asphxyiant) Frostbite from liquified gas, CNS effects, lowered consciousness.</t>
  </si>
  <si>
    <t>NIR - Lasers - wavelength 100 - 1000 nm (non-ionizing radiation)</t>
  </si>
  <si>
    <t>Precision measurements. Instrumentation, surveying, metal cutting</t>
  </si>
  <si>
    <t>NIR - Microwaves - wavelength 750 - 2500nm (non-ionizing radiation)</t>
  </si>
  <si>
    <t>Domestic, industrial catering equipment, staff self catering areas.</t>
  </si>
  <si>
    <t>Eye damage, organ heating</t>
  </si>
  <si>
    <t>Under investigation</t>
  </si>
  <si>
    <t>NIR - Radiowave/Microwave radiation - wavelength 1 mm - 30 km (non-ionizing radiation)</t>
  </si>
  <si>
    <t>Radio transmitters, ovens. (Cellular phones are a source of low intensity microwave radiation)</t>
  </si>
  <si>
    <t>Acenaphthene</t>
  </si>
  <si>
    <t>83-32-9</t>
  </si>
  <si>
    <t>Anthracene</t>
  </si>
  <si>
    <t>120-12-7</t>
  </si>
  <si>
    <t>Mild irritation to skin, eyes, respiratory tract</t>
  </si>
  <si>
    <t>Dermatitis with UV light, IARC 3 animal carcinogen</t>
  </si>
  <si>
    <t>Calcium Oxide</t>
  </si>
  <si>
    <t>1305-62-0</t>
  </si>
  <si>
    <t>Ozone</t>
  </si>
  <si>
    <t>Welding, photocopiers, IAQ contaminant</t>
  </si>
  <si>
    <t>Irritation of eyes, nose, and respiratory tract,   Pulmonary oedema, Headaches.</t>
  </si>
  <si>
    <t>Asthma like reactions, impaired lung function</t>
  </si>
  <si>
    <t>Greases and Lubricants (&lt; 3%PCAH Content)</t>
  </si>
  <si>
    <t>Ooils for lubricating pumps, compressors, etc.</t>
  </si>
  <si>
    <t>Mildly irritating to the eyes, skin, and respiratory tract</t>
  </si>
  <si>
    <t>Dermatitis, oil acne</t>
  </si>
  <si>
    <t>Acids (dilute), inorganic (liquids) (pH &gt; 2)</t>
  </si>
  <si>
    <t>Hydrofluoric (&lt;1%), Hydrochloric (&gt;10 - &lt;25%), Sulfuric (&gt;5 - &lt;15%) , Phosphoric (&gt;10-&lt;25%)</t>
  </si>
  <si>
    <t>Cement (chromate impurities) (powder)</t>
  </si>
  <si>
    <t>Inhalation of dust and potential residue ingestion during cement work, including cutting with powertool.</t>
  </si>
  <si>
    <t>Irritant to skin, eyes (conjunctivitis) and on inhalation of dust</t>
  </si>
  <si>
    <t>Detergents</t>
  </si>
  <si>
    <t>Cleaning chemicals and solutions, Examples include (but are not limited to): Windex, Disinfectant Spray, Ajax Cleaner, Bleach, Formulation vary</t>
  </si>
  <si>
    <t>Fuel Additives for Non-Leaded Fuels</t>
  </si>
  <si>
    <t>Gasoline and diesel fuel additives</t>
  </si>
  <si>
    <t>Irritation to eyes and skin. Drowsiness, dizziness.  Harmful for lungs if swallowed.</t>
  </si>
  <si>
    <t>Effects on the liver lung, kidney and heart, blood system, spleen, adrenal glands, central nervous system and hearing loss</t>
  </si>
  <si>
    <t>Kerosene, jet fuel</t>
  </si>
  <si>
    <t>Degreasant,Kerosene untreated black start units, Aero sector.</t>
  </si>
  <si>
    <t>Dermatitis, confirmed animal carcinogen with unknown relevance to humans (ACGIH A3)</t>
  </si>
  <si>
    <t>Metalworking Fluids (refined &lt; 3% PCAH content)</t>
  </si>
  <si>
    <t>Lubricating and cooling fluid (cutting oils) during metal machining</t>
  </si>
  <si>
    <t>Mild irritant to skin, eyes, respiratory tract</t>
  </si>
  <si>
    <t>Methyl isobutyl carbinol (MIBC)</t>
  </si>
  <si>
    <t>Component in some paints and primers</t>
  </si>
  <si>
    <t>108-11-2</t>
  </si>
  <si>
    <t>Irritating to respiratory tract, CNS depression; severly irritating to eyes; slightly irritating to skin</t>
  </si>
  <si>
    <t>Particulates (total, not classified)</t>
  </si>
  <si>
    <t>Mechanical Agitation or Pulverizing of low hazard materials, dry powder fire extinguishing agents, solid sulfur, soft wood dust</t>
  </si>
  <si>
    <t>Water with Petroleum Hydrocarbons</t>
  </si>
  <si>
    <t>Waste water contaminated with petroleum hydrocarbons such as from tank bottoms, pig trash, steam cleaning, process contact water, oi</t>
  </si>
  <si>
    <t>Dermatitis.  If benzene is 0.1% or more, add to HHI.</t>
  </si>
  <si>
    <t>Welding fume (as total particulates)</t>
  </si>
  <si>
    <t>Fumes from welding processes on mild steel. Contain iron oxide. Also potential exposure to gases like ozone, phosgene</t>
  </si>
  <si>
    <t>Effects on lung function and kidneys.</t>
  </si>
  <si>
    <t>Bacteria - Infectious Pathogenic, General</t>
  </si>
  <si>
    <t>Contact with: skin infection, mucus from nose/throat of infected person, contaminated personal items (towels, razors, bandages, PPE)</t>
  </si>
  <si>
    <t>Skin infections, strep throat, blood infection, pneumonia, necrotizing fasciitis, toxic shock syndrome.</t>
  </si>
  <si>
    <t>Catalyst- Ether Unit</t>
  </si>
  <si>
    <t>Various catalysts in the ether unit. Examples include: Amberlyst 15 &amp; 35  Wet Resin (Rhom Haas);  HPN IV &amp; VB (Engelhard): Plladium</t>
  </si>
  <si>
    <t>Caustics (weak alkalis) pH &lt; 11.5</t>
  </si>
  <si>
    <t>e.g. Caustic soda (NaOH) (0.5 - 2%), Potassium hydroxide (0.5 - 2%), Ammonium hydroxide (&gt;5 - &lt;10%), Lab reagent</t>
  </si>
  <si>
    <t>Irritant to skin and eyes.  Respiratory irritant, may cause pulmonary edema</t>
  </si>
  <si>
    <t>Neodene 6-XHP (Contains 1-hexene)</t>
  </si>
  <si>
    <t>Marketed product</t>
  </si>
  <si>
    <t>CNS depression, irritating to eyes, defats skin</t>
  </si>
  <si>
    <t>Silica (non-crystalline or amorphous) respirable</t>
  </si>
  <si>
    <t>Construction material, insulating materials (calsil), used RCF, Sand filter fro treaters, sand blasting, jack hammering concrete; Ab</t>
  </si>
  <si>
    <t>Catalyst - Platinum on Alumina (Fresh)</t>
  </si>
  <si>
    <t>In Catalysts</t>
  </si>
  <si>
    <t>Irritation to the eyes (mechanical), skin and respiratory tract from dust</t>
  </si>
  <si>
    <t>Catalyst - Platinum on Alumina (Spent)</t>
  </si>
  <si>
    <t>Petroleum Coke</t>
  </si>
  <si>
    <t>Product of coking operations. Used as fuel in furnaces, boilers</t>
  </si>
  <si>
    <t>Mechanical irritation of the eyes</t>
  </si>
  <si>
    <t>Acetone</t>
  </si>
  <si>
    <t>Auxiliary chemical, Lab glass cleaner</t>
  </si>
  <si>
    <t>67-64-1</t>
  </si>
  <si>
    <t>Work Environment - Indoor climate</t>
  </si>
  <si>
    <t>Inadequate temperature control (too hot, too cold, draughts). Inadequate indoor air quality (insufficient fresh air; poor air filters, ingess of externa lpollution, dust and gases, eg CO, smells.</t>
  </si>
  <si>
    <t>General discomfort, e.g. feeling too hot/too cold, stiff neck, dry throat/eyes, headaches</t>
  </si>
  <si>
    <t>Work Environment - Nuisance noise such as from open plan office</t>
  </si>
  <si>
    <t>Poorly designed open plan environments. Lack of personal space. Inability to concentrate because of noise levels and disturbances</t>
  </si>
  <si>
    <t>Concentration loss, irritation</t>
  </si>
  <si>
    <t>Work Environment- Inadequate lighting</t>
  </si>
  <si>
    <t>Lighting design or maintenance needs improvement, glare on DSE from windows or lighting system, worksite with poor lighting, or insufficent lightling for detailed/precision tasks tasks.</t>
  </si>
  <si>
    <t>Eyestrain, headaches, decreased efficiency,  increase in work errors.</t>
  </si>
  <si>
    <t>Permature eyesight degradation</t>
  </si>
  <si>
    <t>Drilling Completion Fluids</t>
  </si>
  <si>
    <t>In O&amp;G sector. Completion fluids can contain ammonia, potassium chloride, sodium chloride, sodium bromide, Calcium chloride, calcium bromide, zinc</t>
  </si>
  <si>
    <t>Ethylene Glycol</t>
  </si>
  <si>
    <t>Antifreeze, process chemical</t>
  </si>
  <si>
    <t>107-21-1</t>
  </si>
  <si>
    <t>Effect on kidneys,  renal failure and brain injury.  Irritant to skin, eyes and respiratory tract.  Narcotic effect.</t>
  </si>
  <si>
    <t>CNS effects, abnormal eye movements (nystagmus).</t>
  </si>
  <si>
    <t>Bismuth Nitrate</t>
  </si>
  <si>
    <t>Catalyst production</t>
  </si>
  <si>
    <t>10361-44-1</t>
  </si>
  <si>
    <t>Kidney damage, black line and spots on the gums, foul breath</t>
  </si>
  <si>
    <t>Catalyst - Copper Zinc</t>
  </si>
  <si>
    <t>BASF R 3-12, Arsine Treater Catalyst containing copper, zinc and aluminum</t>
  </si>
  <si>
    <t>Citric Acid</t>
  </si>
  <si>
    <t>Catalyst processing and laboratory work</t>
  </si>
  <si>
    <t>77-92-9</t>
  </si>
  <si>
    <t>Possible tooth erosion</t>
  </si>
  <si>
    <t>Phenanthrene</t>
  </si>
  <si>
    <t>85-01-8</t>
  </si>
  <si>
    <t>Pyrene</t>
  </si>
  <si>
    <t>129-00-0</t>
  </si>
  <si>
    <t>Sensitivity to sunlight, skin discoloration, IARC 3 animal carcinogen</t>
  </si>
  <si>
    <t>NIR - Extremely Low Frequency magnetic radiation (ELF) - wavelength: &gt; 30 km (non-ionizing radiation)</t>
  </si>
  <si>
    <t>Electrical switch gear; rectifier unit (converts a/c to d/c), transformers, power cables, Generators</t>
  </si>
  <si>
    <t>Possible effects from high intensity sources. N.B. Heart pacemakers could be affected.</t>
  </si>
  <si>
    <t xml:space="preserve">Under investigation, be regualtors </t>
  </si>
  <si>
    <t>Aluminum (respirable)</t>
  </si>
  <si>
    <t>Aluminum metal welding and grinding, Aluminum powder used in anti-sieze</t>
  </si>
  <si>
    <t>7429-90-5</t>
  </si>
  <si>
    <t>Effects on lung function and central nervous system.</t>
  </si>
  <si>
    <t>Aluminum (total)</t>
  </si>
  <si>
    <t>Antimony</t>
  </si>
  <si>
    <t>Welding, lead batteries</t>
  </si>
  <si>
    <t>7440-36-0</t>
  </si>
  <si>
    <t>Biocides (NOC)</t>
  </si>
  <si>
    <t xml:space="preserve">Cooling water tower additive, water treatment, production well treatment in Boiler feed, steam systems </t>
  </si>
  <si>
    <t>Base on chemical species present</t>
  </si>
  <si>
    <t>Calcium and Calcium Compounds</t>
  </si>
  <si>
    <t>Anti- sieze compound, Calcium, Calcium Sulfate, Calcium Chloride *Potentia lsource of Cr(VI)</t>
  </si>
  <si>
    <t>7440-70-2</t>
  </si>
  <si>
    <t>Dermatitis, nasal ulcerations, lung function impairment.</t>
  </si>
  <si>
    <t>Carbon Dioxide</t>
  </si>
  <si>
    <t xml:space="preserve">Combustion by product, fire extinguishers, IAQ buildup of exhaled CO2, Fire Blanket syste min Turbine halls </t>
  </si>
  <si>
    <t>124-38-9</t>
  </si>
  <si>
    <t>(For Asphyxiation, refer to Simple Asphyxiants) Frostbite or burns from liquified gas.</t>
  </si>
  <si>
    <t>Headache, dizziness, restlessness, breathing difficulty, malaise, increased heart rate, cardiac output, blood pressure</t>
  </si>
  <si>
    <t>Bacteria - Total Bacterial Count</t>
  </si>
  <si>
    <t>Contaminated air handling system, bacterial growth in bulidings</t>
  </si>
  <si>
    <t>Odor complaints, increased eye irritation and upper respiratory symptoms.</t>
  </si>
  <si>
    <t>2-Propanol</t>
  </si>
  <si>
    <t xml:space="preserve"> Isopropylalcohol; IPA, screen cleaner</t>
  </si>
  <si>
    <t>67-63-0</t>
  </si>
  <si>
    <t>Liver damage</t>
  </si>
  <si>
    <t>Acenaphthalene</t>
  </si>
  <si>
    <t>Acetates including Ethyl-, Butyl-, 1-Methoxy-2-propanol- Acetate (MPA) (Propylene Glycol Monomethyl Ether Acetate)</t>
  </si>
  <si>
    <t>Chemical plant products for sale, solvents used in paints, varnish removers, and for cleaning.</t>
  </si>
  <si>
    <t>Alcohol, sec-Butyl</t>
  </si>
  <si>
    <t>Marketed product from Chemicals</t>
  </si>
  <si>
    <t>78-92-2</t>
  </si>
  <si>
    <t>Chromium (metal)</t>
  </si>
  <si>
    <t xml:space="preserve"> Welding and arc gouging stainless steel, nickel and high chromium steels.  Applying or removing chrome pigmented paints.</t>
  </si>
  <si>
    <t>Diisobutyl ketone</t>
  </si>
  <si>
    <t>Paint (epoxy, lacquer, isocyanate activator) component, marketed product</t>
  </si>
  <si>
    <t>108-83-8</t>
  </si>
  <si>
    <t>Ethylene Glycol Monobutyl Ether</t>
  </si>
  <si>
    <t>110-80-5</t>
  </si>
  <si>
    <t>Irritant to skin, eyes and respiratory tract, narcotic effect, effects on liver, blood and kidneys</t>
  </si>
  <si>
    <t>Hexene, 1-</t>
  </si>
  <si>
    <t>592-41-6</t>
  </si>
  <si>
    <t>Mildly irritating to eyes and the respiratory tract, CNS depressant</t>
  </si>
  <si>
    <t>Hexylene glycol</t>
  </si>
  <si>
    <t>Anti-freeze</t>
  </si>
  <si>
    <t>107-41-5</t>
  </si>
  <si>
    <t>Hydrocarbons, Light (&lt;C5's), Hydrocarbon Gas (EP), Liquefied Petroleum Gases (e.g. Propane)</t>
  </si>
  <si>
    <t xml:space="preserve">Propane; Butane; Methane, Natural gas, Liquidfied natural gas, Fuel gas (if sour see hydrogen sulfide). </t>
  </si>
  <si>
    <t>Asphyxiant (for RAM see Simple Asphyxiant), headaches, giddiness, nausea, cold burns from liquefied gas</t>
  </si>
  <si>
    <t>Iron Oxide (fume)</t>
  </si>
  <si>
    <t xml:space="preserve"> Welding, arc welding, gouging and grinding &amp; polishing</t>
  </si>
  <si>
    <t>1309-37-1</t>
  </si>
  <si>
    <t>Benign pneumonconiosis (siderosis)</t>
  </si>
  <si>
    <t>Iron Sulfide</t>
  </si>
  <si>
    <t>Deposition on filters, catalysts, in scale, fuel gas,, field pipelines and water handling systems</t>
  </si>
  <si>
    <t>Mechanical irritation of eyes skin and respiratory tract from dust</t>
  </si>
  <si>
    <t>Lubricating Oils and C16-C35 Hydrocarbons  (includes oil mist)</t>
  </si>
  <si>
    <t>s</t>
  </si>
  <si>
    <t>Irritant to respiratory tract.</t>
  </si>
  <si>
    <t>Magnesium Oxide</t>
  </si>
  <si>
    <t>1309-48-4</t>
  </si>
  <si>
    <t>Man made or synthetic vitreous fibers</t>
  </si>
  <si>
    <t>Insulation and removal (blanket and pre-formed), on site storage</t>
  </si>
  <si>
    <t>Respiratory and skin irritation</t>
  </si>
  <si>
    <t>Methyl isobutyl ketone (MIBK)</t>
  </si>
  <si>
    <t>In paint</t>
  </si>
  <si>
    <t>108-10-1</t>
  </si>
  <si>
    <t>Naphtha</t>
  </si>
  <si>
    <t>Synthetic Diesel, made from Natural Gas</t>
  </si>
  <si>
    <t>Octane</t>
  </si>
  <si>
    <t>Gasoline blending</t>
  </si>
  <si>
    <t>Vapor may cause irritation of the respiratory tract, depression, pulmonary edema. Liquid can cause irritation of the eyes.</t>
  </si>
  <si>
    <t>Pentane</t>
  </si>
  <si>
    <t>Process stream, feedstock, lab reagent</t>
  </si>
  <si>
    <t>109-66-0</t>
  </si>
  <si>
    <t>Irritant to the skin, eyes, and respiratory tract. CNS depression.</t>
  </si>
  <si>
    <t>Phenyl ether</t>
  </si>
  <si>
    <t>Component of some heat transfer fluids such as Therminol VP1</t>
  </si>
  <si>
    <t>101-84-8</t>
  </si>
  <si>
    <t>Pseudocumene</t>
  </si>
  <si>
    <t>95-63-6</t>
  </si>
  <si>
    <t>Defatting of the skin, dermatitis, bronchitis, effects on CNS and blood.</t>
  </si>
  <si>
    <t>Selenium</t>
  </si>
  <si>
    <t>7782-49-2</t>
  </si>
  <si>
    <t>Irritation of respiratory tract, possible delayed oedema, chills and fever or asphyxiation.</t>
  </si>
  <si>
    <t xml:space="preserve"> Dermatitis, effects on respiratory tract, gastrointestinal tract, and skin, nausea, vomiting, cough, yellowish skin discolouration, loss of nails, garlic breath and bad teeth.</t>
  </si>
  <si>
    <t>Sulfolane</t>
  </si>
  <si>
    <t>Process chemical in refining aromatics unit</t>
  </si>
  <si>
    <t>126-33-0</t>
  </si>
  <si>
    <t>Effects on blood.</t>
  </si>
  <si>
    <t>Undecane</t>
  </si>
  <si>
    <t>Slightly irritating to eyes, skin irritant</t>
  </si>
  <si>
    <t>Xylenes</t>
  </si>
  <si>
    <t>Auxilliary chemical, Lab reagent; Lubricants pre-blend and blending area</t>
  </si>
  <si>
    <t>1330-20-7</t>
  </si>
  <si>
    <t>Zinc Oxide (fume)</t>
  </si>
  <si>
    <t xml:space="preserve"> Welding on galvanized metal</t>
  </si>
  <si>
    <t>1314-13-2</t>
  </si>
  <si>
    <t xml:space="preserve">Fungi - Metalworking Fluids </t>
  </si>
  <si>
    <t>Contaminated metalworking fluids in engineering/maintenance workshops. Inhalation of aerosols.</t>
  </si>
  <si>
    <t>Respiratory distress, particularly in persons who suffer from bronchitis or asthma</t>
  </si>
  <si>
    <t>1,4-Butanediol</t>
  </si>
  <si>
    <t>Catalyst solvent in  Higher Olefins Process :SHOP.</t>
  </si>
  <si>
    <t>110-63-4</t>
  </si>
  <si>
    <t>Slight irritant, narcotic at high concentrations.</t>
  </si>
  <si>
    <t>Alkylated phenolic compounds</t>
  </si>
  <si>
    <t>Products used as anti-oxidant refinery process additives such as Hitec 4733, LUBAD 794, ingredients are 2,4-ditert-butylphenol, 2,6-</t>
  </si>
  <si>
    <t>Ammonium Compounds</t>
  </si>
  <si>
    <t>Ammonium compounds such as laboratory chemical ammonium thiocyanate</t>
  </si>
  <si>
    <t>Ammonium Nitrate</t>
  </si>
  <si>
    <t>Catalyst plant use: 55-Gallon Plastic Drums (Pump Out)</t>
  </si>
  <si>
    <t>6484-52-2</t>
  </si>
  <si>
    <t>Irritation of eyes, skin and respiratory tract, can cause anoxia, methemoglobinemia.</t>
  </si>
  <si>
    <t>Biosludge. Contains Biosolids 3 - 20%, inerts (dirt, sand, clay 0-10%, water 80-97%</t>
  </si>
  <si>
    <t>Chemical - Waste</t>
  </si>
  <si>
    <t>Cerium Carbonate</t>
  </si>
  <si>
    <t>Catalyst manufacturing process</t>
  </si>
  <si>
    <t>537-01-9</t>
  </si>
  <si>
    <t>Charcoal</t>
  </si>
  <si>
    <t>Raw water filters, Activated charcoal in MDEA carbon filter beds, Filter changes</t>
  </si>
  <si>
    <t>Mechanical irritation</t>
  </si>
  <si>
    <t>Diisobutylene</t>
  </si>
  <si>
    <t>Marketed product, small component (&lt;1%) in  MTBE</t>
  </si>
  <si>
    <t>Dimethyl disulfide (DMDS)</t>
  </si>
  <si>
    <t>For sulfiding catalyst</t>
  </si>
  <si>
    <t>624-92-0</t>
  </si>
  <si>
    <t>Moderately toxic; Irritating to skin and eyes; Reversible CNS effects; Objectionable odor.</t>
  </si>
  <si>
    <t>Ditertiary Butyl Peroxide (DTBP)</t>
  </si>
  <si>
    <t>RM-17 Raw Material and QA Laboratory</t>
  </si>
  <si>
    <t>110-05-4</t>
  </si>
  <si>
    <t>Ethyl Mercaptan (odorant additive)</t>
  </si>
  <si>
    <t>Odorants, product and fuel gas stenching, truck shipments.  Custody transfer facilities for gas, LPG and LNG.</t>
  </si>
  <si>
    <t>Nuisance odor, nausea</t>
  </si>
  <si>
    <t>Ethylene and Vinyl Acetate Copolymer</t>
  </si>
  <si>
    <t>SBS, Evatane, Kratone polymer -  used in bitumen (PMB) manfacturing</t>
  </si>
  <si>
    <t>Irritant to respiratory tract and skin</t>
  </si>
  <si>
    <t>Ethylene, butane and butylene</t>
  </si>
  <si>
    <t>74-85-1</t>
  </si>
  <si>
    <t>(For Asphyxiation, refer to Simple Asphyxiants *318) Frostbite or burns from liquified gas.</t>
  </si>
  <si>
    <t>Freon (HCFC)</t>
  </si>
  <si>
    <t>Refrigerant, lab analysis</t>
  </si>
  <si>
    <t>Asphyxiant ( see Simple Asphyxiant), frostbite, cardiac effects, forms Phosgene if ignited</t>
  </si>
  <si>
    <t>Hemimellitene</t>
  </si>
  <si>
    <t>526-73-8</t>
  </si>
  <si>
    <t>Iron Salts (soluble) as Fe</t>
  </si>
  <si>
    <t>Lab chemical and chemical plant unit process chemicals, FeSO4: Ferrous sulfate, Iron(II) sulfate, FeCl2: Ferrous chloride, Iron(II)</t>
  </si>
  <si>
    <t>Linear Chemical - Alcohols</t>
  </si>
  <si>
    <t>Dodecanol, tridecanol, tetradecanol, pentadecanol</t>
  </si>
  <si>
    <t>Low general toxicity, but may cause irritation of the skin, eyes, or respiratory tract.</t>
  </si>
  <si>
    <t>Liquefied Petroleum Gases (C3-C4)</t>
  </si>
  <si>
    <t>Process fractionating equipment, storage tanks, transport trucks and rail cars. Propane, butane</t>
  </si>
  <si>
    <t>Liquid Natural Gases (LNGs)</t>
  </si>
  <si>
    <t>Cryogenic plants, tankers</t>
  </si>
  <si>
    <t>Methyl Mercaptan</t>
  </si>
  <si>
    <t>74-93-1</t>
  </si>
  <si>
    <t>Irritating to the eyes and the respiratory tract, can cause respiratory depression, unconsciousness and death.</t>
  </si>
  <si>
    <t>Molybdenum disulphide</t>
  </si>
  <si>
    <t>Lubricants pre-blend and blending area, component of greases, maintenance activities</t>
  </si>
  <si>
    <t>Mechanical damage and irritation</t>
  </si>
  <si>
    <t>Neodene (General) -  Alpha, Internal and Branched Olefins</t>
  </si>
  <si>
    <t>Marketed products such as Neodene 2024, Neodene 16</t>
  </si>
  <si>
    <t>CNS depression, irritating to eyes and skin, defats skin</t>
  </si>
  <si>
    <t>Neodol 67</t>
  </si>
  <si>
    <t>C-16 and C-17 branched alcohols</t>
  </si>
  <si>
    <t>Irritation to the eye and slightly irritating to skin</t>
  </si>
  <si>
    <t>Neopentyl glycol</t>
  </si>
  <si>
    <t>Used as an intermediate to produce saturated polyester resins, alkyd resins, powder coatings, unsaturated polyester resins, plastici</t>
  </si>
  <si>
    <t>126-30-7</t>
  </si>
  <si>
    <t>Severe irritant to eyes. Vapor from heated product irritating on inhalation</t>
  </si>
  <si>
    <t>Oleophilic bentonite clay (aluminum silicate)</t>
  </si>
  <si>
    <t>Lubricants pre-blend and blending area - in Aero Grease</t>
  </si>
  <si>
    <t>Dusts irritate the nose and throat</t>
  </si>
  <si>
    <t>Paraffins - HODER</t>
  </si>
  <si>
    <t>HBS 150, HBS 150B</t>
  </si>
  <si>
    <t>Respiratory tract irritation, CNS depression, irritating to eyes, defats skin</t>
  </si>
  <si>
    <t>PGS-2 (liquid) contains polyoxyalkylene glycol</t>
  </si>
  <si>
    <t>Norco proprietary product.</t>
  </si>
  <si>
    <t>Potassium di-hydrogen phosophate</t>
  </si>
  <si>
    <t>Product of chemical plant.</t>
  </si>
  <si>
    <t>7778-77-0</t>
  </si>
  <si>
    <t>R 22 (Freon replacement)</t>
  </si>
  <si>
    <t>Equipment failure +C200</t>
  </si>
  <si>
    <t>Asphyxiant (for RAM see Simple Asphyxiant), frostbite, cardiac effects, forms Phosgene if ignited</t>
  </si>
  <si>
    <t>Water Treatment Chemicals- Low Risk</t>
  </si>
  <si>
    <t>Ferric Chloride, Ferric Sulfate, Boiler feed water treatment plants, waste water treatment plants</t>
  </si>
  <si>
    <t>NIR - Visible light (too much; too little) - wavelength 400 - 780 nm (non-ionizing radiation)</t>
  </si>
  <si>
    <t>Arc welding, sunshine, flood lighting, night lights, Chemical curing systems</t>
  </si>
  <si>
    <t>Fatty Acid Process Additives e.g. Containing Polyamine Naphtha</t>
  </si>
  <si>
    <t>Process additives: Baker Petrolite BP81212,  Acidless Tallow Oil - raw material for Emulsion Bitumen blending.</t>
  </si>
  <si>
    <t>Skin irritation, respiratory tract irritation, chemical pneumonitis, pulmonary edema, CNS effects, cardiac injury</t>
  </si>
  <si>
    <t>Silicon (respirable)</t>
  </si>
  <si>
    <t>7440-21-3</t>
  </si>
  <si>
    <t>Amberlite IR-120 Plus</t>
  </si>
  <si>
    <t>Auxilliary chemical, industrial resin</t>
  </si>
  <si>
    <t>Mechanical irritation to eyes</t>
  </si>
  <si>
    <t>Anti-foam agents (silicone based)</t>
  </si>
  <si>
    <t>Sulfinol/MDEA units, production operations</t>
  </si>
  <si>
    <t>Effects will be substance specific and will require confirmation for chemical species</t>
  </si>
  <si>
    <t>Bentonite</t>
  </si>
  <si>
    <t>Groundwater sealant, mud plugs in pipeline, maintenance activities</t>
  </si>
  <si>
    <t>Catalyst - Alumina (activated)/Bauxite (fresh and</t>
  </si>
  <si>
    <t>Sulfur plant, catalysts, handling and disposal of fresh and spent catalysts</t>
  </si>
  <si>
    <t>Catalyst - Molecular sieves</t>
  </si>
  <si>
    <t>Dehydrators, filter changeouts, loading and unloading, Aluminosilicate beads, may contain some crystalline silica</t>
  </si>
  <si>
    <t>Catalyst - Titanium</t>
  </si>
  <si>
    <t>Catalyst used in SMPO Unit</t>
  </si>
  <si>
    <t>Cellulose</t>
  </si>
  <si>
    <t>Wheat, oat and barley straw used as feedstock in the manufacture of cellulosic ethanol.</t>
  </si>
  <si>
    <t>9004-34-6</t>
  </si>
  <si>
    <t>Irritating to respiratory tract and mildly irritating to eyes</t>
  </si>
  <si>
    <t>Dielectric Oils/Fluids</t>
  </si>
  <si>
    <t>Transformers, PCB replacement,  Diala Oils</t>
  </si>
  <si>
    <t>Slightly irritating to the eyes and skin, may cause an allergic reaction</t>
  </si>
  <si>
    <t>Dipropylene glycol</t>
  </si>
  <si>
    <t>Marketed product for Chemical</t>
  </si>
  <si>
    <t>25265-71-8</t>
  </si>
  <si>
    <t>Graphite (respirable)</t>
  </si>
  <si>
    <t>Maintenance Inspection Substances (NOC)</t>
  </si>
  <si>
    <t>Small quantities of: Spray zinc, WD40, Liquid Cold, Dye penetrants, Paint, Aviation soap (general powdered cleaner)</t>
  </si>
  <si>
    <t>Irritant with degree specific to the product</t>
  </si>
  <si>
    <t>TBD</t>
  </si>
  <si>
    <t>Paraffins</t>
  </si>
  <si>
    <t>Hydrocarbon Blend Stock (HBS) 150, HBS 150B</t>
  </si>
  <si>
    <t>Waxes and related products</t>
  </si>
  <si>
    <t>Filter separators, well tubulars, pipelines</t>
  </si>
  <si>
    <t>Hot wax fumes irritate the eyes and respiratory tract; burns from molten wax</t>
  </si>
  <si>
    <t>Calcium hydroxystearate</t>
  </si>
  <si>
    <t>Lubricants pre-blend and blending area; additive to grease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</si>
</sst>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m\-yyyy"/>
    <numFmt numFmtId="165" formatCode="0.0"/>
  </numFmts>
  <fonts count="61">
    <font>
      <sz val="11"/>
      <color theme="1"/>
      <name val="Calibri"/>
      <family val="2"/>
      <scheme val="minor"/>
    </font>
    <font>
      <sz val="8"/>
      <color theme="1"/>
      <name val="Calibri"/>
      <family val="2"/>
      <scheme val="minor"/>
    </font>
    <font>
      <sz val="9"/>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4"/>
      <color theme="0"/>
      <name val="Calibri"/>
      <family val="2"/>
      <scheme val="minor"/>
    </font>
    <font>
      <b/>
      <sz val="16"/>
      <color theme="0"/>
      <name val="Calibri"/>
      <family val="2"/>
      <scheme val="minor"/>
    </font>
    <font>
      <b/>
      <sz val="12"/>
      <color theme="1"/>
      <name val="Calibri"/>
      <family val="2"/>
      <scheme val="minor"/>
    </font>
    <font>
      <sz val="16"/>
      <color theme="0"/>
      <name val="Calibri"/>
      <family val="2"/>
      <scheme val="minor"/>
    </font>
    <font>
      <i/>
      <sz val="10"/>
      <color theme="1"/>
      <name val="Calibri"/>
      <family val="2"/>
      <scheme val="minor"/>
    </font>
    <font>
      <sz val="11"/>
      <name val="Calibri"/>
      <family val="2"/>
      <scheme val="minor"/>
    </font>
    <font>
      <b/>
      <sz val="14"/>
      <color theme="0"/>
      <name val="Calibri"/>
      <family val="2"/>
      <scheme val="minor"/>
    </font>
    <font>
      <i/>
      <sz val="10"/>
      <color theme="0" tint="-0.499984740745262"/>
      <name val="Calibri"/>
      <family val="2"/>
      <scheme val="minor"/>
    </font>
    <font>
      <b/>
      <sz val="9"/>
      <color theme="1"/>
      <name val="Gotham Rounded Book"/>
      <family val="3"/>
    </font>
    <font>
      <sz val="9"/>
      <name val="Calibri"/>
      <family val="2"/>
      <scheme val="minor"/>
    </font>
    <font>
      <i/>
      <sz val="11"/>
      <color theme="0" tint="-0.499984740745262"/>
      <name val="Calibri"/>
      <family val="2"/>
      <scheme val="minor"/>
    </font>
    <font>
      <sz val="10"/>
      <name val="Times New Roman"/>
      <family val="1"/>
    </font>
    <font>
      <sz val="10"/>
      <name val="Gotham Rounded Book"/>
      <family val="3"/>
    </font>
    <font>
      <b/>
      <u/>
      <sz val="10"/>
      <name val="Gotham Rounded Book"/>
      <family val="3"/>
    </font>
    <font>
      <sz val="8"/>
      <name val="Calibri"/>
      <family val="2"/>
      <scheme val="minor"/>
    </font>
    <font>
      <sz val="8"/>
      <color theme="1"/>
      <name val="Montserrat"/>
    </font>
    <font>
      <sz val="5"/>
      <color theme="1"/>
      <name val="Montserrat"/>
    </font>
    <font>
      <sz val="10"/>
      <color theme="1"/>
      <name val="Montserrat SemiBold"/>
    </font>
    <font>
      <sz val="12"/>
      <color theme="1"/>
      <name val="Montserrat SemiBold"/>
    </font>
    <font>
      <sz val="8"/>
      <color theme="1"/>
      <name val="Montserrat SemiBold"/>
    </font>
    <font>
      <sz val="7"/>
      <color theme="1"/>
      <name val="Montserrat SemiBold"/>
    </font>
    <font>
      <sz val="7"/>
      <color theme="0"/>
      <name val="Montserrat"/>
    </font>
    <font>
      <sz val="7"/>
      <color theme="1"/>
      <name val="Montserrat"/>
    </font>
    <font>
      <sz val="6"/>
      <color theme="1"/>
      <name val="Montserrat"/>
    </font>
    <font>
      <sz val="6"/>
      <color theme="0"/>
      <name val="Montserrat"/>
    </font>
    <font>
      <sz val="6"/>
      <color theme="1"/>
      <name val="Montserrat SemiBold"/>
    </font>
    <font>
      <sz val="11"/>
      <color theme="1"/>
      <name val="Montserrat SemiBold"/>
    </font>
    <font>
      <sz val="7"/>
      <color theme="0"/>
      <name val="Montserrat SemiBold"/>
    </font>
    <font>
      <b/>
      <sz val="7"/>
      <color theme="1"/>
      <name val="Montserrat SemiBold"/>
    </font>
    <font>
      <sz val="10"/>
      <name val="Montserrat"/>
    </font>
    <font>
      <sz val="10"/>
      <color theme="1"/>
      <name val="Montserrat"/>
    </font>
    <font>
      <b/>
      <sz val="10"/>
      <color theme="1"/>
      <name val="Montserrat"/>
    </font>
    <font>
      <b/>
      <sz val="7"/>
      <color theme="1"/>
      <name val="Montserrat"/>
    </font>
    <font>
      <b/>
      <sz val="7"/>
      <name val="Montserrat"/>
    </font>
    <font>
      <sz val="7"/>
      <name val="Montserrat"/>
    </font>
    <font>
      <sz val="11"/>
      <color rgb="FF006100"/>
      <name val="Calibri"/>
      <family val="2"/>
      <scheme val="minor"/>
    </font>
    <font>
      <sz val="10"/>
      <name val="Arial"/>
      <family val="2"/>
    </font>
    <font>
      <b/>
      <sz val="12"/>
      <name val="Gotham Rounded Book"/>
      <family val="3"/>
    </font>
    <font>
      <b/>
      <sz val="9"/>
      <name val="Gotham Rounded Book"/>
      <family val="3"/>
    </font>
    <font>
      <b/>
      <sz val="10"/>
      <name val="Gotham Rounded Book"/>
      <family val="3"/>
    </font>
    <font>
      <b/>
      <sz val="10"/>
      <color theme="1"/>
      <name val="Gotham Rounded Book"/>
      <family val="3"/>
    </font>
    <font>
      <sz val="9"/>
      <color theme="1"/>
      <name val="Gotham Rounded Book"/>
      <family val="3"/>
    </font>
    <font>
      <sz val="11"/>
      <color theme="1"/>
      <name val="Gotham Rounded Book"/>
      <family val="3"/>
    </font>
    <font>
      <b/>
      <sz val="9"/>
      <color theme="0"/>
      <name val="Gotham Rounded Book"/>
      <family val="3"/>
    </font>
    <font>
      <b/>
      <sz val="11"/>
      <color theme="1"/>
      <name val="Gotham Rounded Book"/>
      <family val="3"/>
    </font>
    <font>
      <sz val="10"/>
      <color theme="1"/>
      <name val="Gotham Rounded Book"/>
      <family val="3"/>
    </font>
    <font>
      <b/>
      <i/>
      <sz val="7"/>
      <color theme="1"/>
      <name val="Montserrat"/>
    </font>
    <font>
      <i/>
      <sz val="7"/>
      <color theme="1"/>
      <name val="Montserrat"/>
    </font>
    <font>
      <sz val="7"/>
      <color rgb="FF0070C0"/>
      <name val="Montserrat"/>
    </font>
    <font>
      <b/>
      <sz val="7"/>
      <color rgb="FFFF0000"/>
      <name val="Montserrat"/>
    </font>
    <font>
      <b/>
      <sz val="7"/>
      <color rgb="FF0070C0"/>
      <name val="Montserrat"/>
    </font>
    <font>
      <sz val="7"/>
      <color theme="4"/>
      <name val="Montserrat SemiBold"/>
    </font>
    <font>
      <sz val="7"/>
      <color theme="4"/>
      <name val="Montserrat"/>
    </font>
    <font>
      <b/>
      <sz val="7"/>
      <color theme="4"/>
      <name val="Montserrat"/>
    </font>
  </fonts>
  <fills count="18">
    <fill>
      <patternFill patternType="none"/>
    </fill>
    <fill>
      <patternFill patternType="gray125"/>
    </fill>
    <fill>
      <patternFill patternType="solid">
        <fgColor theme="2" tint="-9.9978637043366805E-2"/>
        <bgColor indexed="64"/>
      </patternFill>
    </fill>
    <fill>
      <patternFill patternType="solid">
        <fgColor theme="0"/>
        <bgColor indexed="64"/>
      </patternFill>
    </fill>
    <fill>
      <patternFill patternType="solid">
        <fgColor rgb="FFFF0000"/>
        <bgColor indexed="64"/>
      </patternFill>
    </fill>
    <fill>
      <patternFill patternType="solid">
        <fgColor rgb="FF00B050"/>
        <bgColor indexed="64"/>
      </patternFill>
    </fill>
    <fill>
      <patternFill patternType="solid">
        <fgColor rgb="FF002060"/>
        <bgColor indexed="64"/>
      </patternFill>
    </fill>
    <fill>
      <patternFill patternType="solid">
        <fgColor theme="8" tint="0.79998168889431442"/>
        <bgColor indexed="64"/>
      </patternFill>
    </fill>
    <fill>
      <patternFill patternType="solid">
        <fgColor rgb="FF003760"/>
        <bgColor indexed="64"/>
      </patternFill>
    </fill>
    <fill>
      <patternFill patternType="solid">
        <fgColor theme="0" tint="-0.14999847407452621"/>
        <bgColor indexed="64"/>
      </patternFill>
    </fill>
    <fill>
      <patternFill patternType="solid">
        <fgColor rgb="FF003399"/>
        <bgColor indexed="64"/>
      </patternFill>
    </fill>
    <fill>
      <patternFill patternType="solid">
        <fgColor theme="4" tint="0.79998168889431442"/>
        <bgColor indexed="64"/>
      </patternFill>
    </fill>
    <fill>
      <patternFill patternType="solid">
        <fgColor rgb="FFFFFF00"/>
        <bgColor indexed="64"/>
      </patternFill>
    </fill>
    <fill>
      <patternFill patternType="solid">
        <fgColor rgb="FFC6EFCE"/>
      </patternFill>
    </fill>
    <fill>
      <patternFill patternType="solid">
        <fgColor theme="6" tint="0.59996337778862885"/>
        <bgColor indexed="64"/>
      </patternFill>
    </fill>
    <fill>
      <patternFill patternType="solid">
        <fgColor theme="6" tint="0.59999389629810485"/>
        <bgColor indexed="64"/>
      </patternFill>
    </fill>
    <fill>
      <patternFill patternType="solid">
        <fgColor rgb="FFEE0000"/>
        <bgColor indexed="64"/>
      </patternFill>
    </fill>
    <fill>
      <patternFill patternType="solid">
        <fgColor theme="0" tint="-4.9989318521683403E-2"/>
        <bgColor indexed="64"/>
      </patternFill>
    </fill>
  </fills>
  <borders count="70">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medium">
        <color indexed="64"/>
      </top>
      <bottom style="thin">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diagonalDown="1">
      <left style="thin">
        <color indexed="64"/>
      </left>
      <right style="thin">
        <color indexed="64"/>
      </right>
      <top/>
      <bottom style="thin">
        <color indexed="64"/>
      </bottom>
      <diagonal style="thin">
        <color indexed="64"/>
      </diagonal>
    </border>
    <border>
      <left/>
      <right style="thin">
        <color indexed="64"/>
      </right>
      <top/>
      <bottom style="thin">
        <color indexed="64"/>
      </bottom>
      <diagonal/>
    </border>
    <border>
      <left style="thin">
        <color indexed="64"/>
      </left>
      <right/>
      <top/>
      <bottom style="thin">
        <color indexed="64"/>
      </bottom>
      <diagonal/>
    </border>
    <border diagonalDown="1">
      <left style="thin">
        <color indexed="64"/>
      </left>
      <right style="thin">
        <color indexed="64"/>
      </right>
      <top/>
      <bottom/>
      <diagonal style="thin">
        <color indexed="64"/>
      </diagonal>
    </border>
    <border>
      <left/>
      <right style="thin">
        <color indexed="64"/>
      </right>
      <top style="thin">
        <color indexed="64"/>
      </top>
      <bottom/>
      <diagonal/>
    </border>
    <border>
      <left style="thin">
        <color indexed="64"/>
      </left>
      <right/>
      <top style="thin">
        <color indexed="64"/>
      </top>
      <bottom/>
      <diagonal/>
    </border>
    <border diagonalDown="1">
      <left style="thin">
        <color indexed="64"/>
      </left>
      <right style="thin">
        <color indexed="64"/>
      </right>
      <top style="thin">
        <color indexed="64"/>
      </top>
      <bottom/>
      <diagonal style="thin">
        <color indexed="64"/>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style="medium">
        <color indexed="64"/>
      </right>
      <top/>
      <bottom style="medium">
        <color indexed="64"/>
      </bottom>
      <diagonal/>
    </border>
    <border>
      <left/>
      <right style="thin">
        <color indexed="64"/>
      </right>
      <top/>
      <bottom style="medium">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style="medium">
        <color indexed="64"/>
      </bottom>
      <diagonal/>
    </border>
    <border>
      <left/>
      <right/>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medium">
        <color indexed="64"/>
      </right>
      <top/>
      <bottom/>
      <diagonal/>
    </border>
    <border>
      <left style="medium">
        <color indexed="64"/>
      </left>
      <right style="medium">
        <color indexed="64"/>
      </right>
      <top/>
      <bottom/>
      <diagonal/>
    </border>
    <border>
      <left style="thin">
        <color indexed="64"/>
      </left>
      <right style="medium">
        <color indexed="64"/>
      </right>
      <top/>
      <bottom style="medium">
        <color indexed="64"/>
      </bottom>
      <diagonal/>
    </border>
    <border>
      <left style="medium">
        <color indexed="64"/>
      </left>
      <right style="thin">
        <color indexed="64"/>
      </right>
      <top/>
      <bottom style="thin">
        <color indexed="64"/>
      </bottom>
      <diagonal/>
    </border>
  </borders>
  <cellStyleXfs count="8">
    <xf numFmtId="0" fontId="0" fillId="0" borderId="0"/>
    <xf numFmtId="0" fontId="3" fillId="0" borderId="0"/>
    <xf numFmtId="0" fontId="3" fillId="0" borderId="0"/>
    <xf numFmtId="0" fontId="18" fillId="0" borderId="0"/>
    <xf numFmtId="0" fontId="3" fillId="0" borderId="0"/>
    <xf numFmtId="0" fontId="3" fillId="0" borderId="0"/>
    <xf numFmtId="0" fontId="42" fillId="13" borderId="0" applyNumberFormat="0" applyBorder="0" applyAlignment="0" applyProtection="0"/>
    <xf numFmtId="0" fontId="43" fillId="0" borderId="0"/>
  </cellStyleXfs>
  <cellXfs count="338">
    <xf numFmtId="0" fontId="0" fillId="0" borderId="0" xfId="0"/>
    <xf numFmtId="0" fontId="3" fillId="0" borderId="0" xfId="1"/>
    <xf numFmtId="0" fontId="3" fillId="3" borderId="0" xfId="1" applyFill="1"/>
    <xf numFmtId="0" fontId="3" fillId="0" borderId="0" xfId="1" applyAlignment="1">
      <alignment vertical="center" wrapText="1"/>
    </xf>
    <xf numFmtId="0" fontId="6" fillId="3" borderId="0" xfId="1" applyFont="1" applyFill="1"/>
    <xf numFmtId="0" fontId="3" fillId="3" borderId="0" xfId="1" applyFill="1" applyAlignment="1">
      <alignment vertical="center" wrapText="1"/>
    </xf>
    <xf numFmtId="0" fontId="3" fillId="3" borderId="0" xfId="1" applyFill="1" applyAlignment="1">
      <alignment horizontal="center" vertical="center"/>
    </xf>
    <xf numFmtId="0" fontId="8" fillId="4" borderId="5" xfId="1" applyFont="1" applyFill="1" applyBorder="1" applyAlignment="1">
      <alignment horizontal="center" vertical="center" wrapText="1"/>
    </xf>
    <xf numFmtId="0" fontId="8" fillId="5" borderId="5" xfId="1" applyFont="1" applyFill="1" applyBorder="1" applyAlignment="1">
      <alignment horizontal="center" vertical="center" wrapText="1"/>
    </xf>
    <xf numFmtId="0" fontId="5" fillId="7" borderId="5" xfId="1" applyFont="1" applyFill="1" applyBorder="1" applyAlignment="1">
      <alignment horizontal="center" vertical="center" wrapText="1"/>
    </xf>
    <xf numFmtId="0" fontId="10" fillId="3" borderId="0" xfId="1" applyFont="1" applyFill="1" applyAlignment="1">
      <alignment horizontal="center" vertical="center"/>
    </xf>
    <xf numFmtId="0" fontId="8" fillId="8" borderId="5" xfId="1" applyFont="1" applyFill="1" applyBorder="1" applyAlignment="1">
      <alignment horizontal="center" vertical="center" wrapText="1"/>
    </xf>
    <xf numFmtId="0" fontId="4" fillId="8" borderId="5" xfId="1" applyFont="1" applyFill="1" applyBorder="1" applyAlignment="1">
      <alignment horizontal="center" vertical="center" wrapText="1"/>
    </xf>
    <xf numFmtId="0" fontId="13" fillId="8" borderId="5" xfId="1" applyFont="1" applyFill="1" applyBorder="1" applyAlignment="1">
      <alignment horizontal="center" vertical="center"/>
    </xf>
    <xf numFmtId="0" fontId="4" fillId="4" borderId="5" xfId="1" applyFont="1" applyFill="1" applyBorder="1" applyAlignment="1">
      <alignment horizontal="center" vertical="center" wrapText="1"/>
    </xf>
    <xf numFmtId="49" fontId="13" fillId="4" borderId="5" xfId="1" applyNumberFormat="1" applyFont="1" applyFill="1" applyBorder="1" applyAlignment="1">
      <alignment horizontal="center" vertical="center"/>
    </xf>
    <xf numFmtId="0" fontId="4" fillId="5" borderId="5" xfId="1" applyFont="1" applyFill="1" applyBorder="1" applyAlignment="1">
      <alignment horizontal="center" vertical="center" wrapText="1"/>
    </xf>
    <xf numFmtId="49" fontId="13" fillId="5" borderId="5" xfId="1" applyNumberFormat="1" applyFont="1" applyFill="1" applyBorder="1" applyAlignment="1">
      <alignment horizontal="center" vertical="center"/>
    </xf>
    <xf numFmtId="0" fontId="3" fillId="0" borderId="0" xfId="2"/>
    <xf numFmtId="0" fontId="3" fillId="3" borderId="0" xfId="2" applyFill="1"/>
    <xf numFmtId="0" fontId="12" fillId="3" borderId="0" xfId="2" applyFont="1" applyFill="1"/>
    <xf numFmtId="0" fontId="3" fillId="0" borderId="20" xfId="2" applyBorder="1" applyAlignment="1">
      <alignment vertical="center"/>
    </xf>
    <xf numFmtId="3" fontId="3" fillId="0" borderId="31" xfId="2" applyNumberFormat="1" applyBorder="1" applyAlignment="1">
      <alignment horizontal="center"/>
    </xf>
    <xf numFmtId="3" fontId="3" fillId="0" borderId="41" xfId="2" applyNumberFormat="1" applyBorder="1" applyAlignment="1">
      <alignment horizontal="center"/>
    </xf>
    <xf numFmtId="0" fontId="3" fillId="0" borderId="40" xfId="2" applyBorder="1" applyAlignment="1">
      <alignment horizontal="center"/>
    </xf>
    <xf numFmtId="1" fontId="3" fillId="0" borderId="44" xfId="2" applyNumberFormat="1" applyBorder="1" applyAlignment="1">
      <alignment horizontal="center"/>
    </xf>
    <xf numFmtId="1" fontId="3" fillId="0" borderId="45" xfId="2" applyNumberFormat="1" applyBorder="1" applyAlignment="1">
      <alignment horizontal="center"/>
    </xf>
    <xf numFmtId="0" fontId="3" fillId="0" borderId="46" xfId="2" applyBorder="1"/>
    <xf numFmtId="0" fontId="3" fillId="0" borderId="20" xfId="2" applyBorder="1"/>
    <xf numFmtId="0" fontId="3" fillId="0" borderId="47" xfId="2" applyBorder="1"/>
    <xf numFmtId="0" fontId="3" fillId="0" borderId="1" xfId="2" applyBorder="1" applyAlignment="1">
      <alignment horizontal="center"/>
    </xf>
    <xf numFmtId="0" fontId="3" fillId="0" borderId="47" xfId="2" applyBorder="1" applyAlignment="1">
      <alignment horizontal="center"/>
    </xf>
    <xf numFmtId="0" fontId="3" fillId="0" borderId="1" xfId="2" applyBorder="1"/>
    <xf numFmtId="0" fontId="2" fillId="0" borderId="5" xfId="1" applyFont="1" applyBorder="1" applyAlignment="1">
      <alignment horizontal="center" vertical="center" wrapText="1"/>
    </xf>
    <xf numFmtId="0" fontId="15" fillId="11" borderId="5" xfId="1" applyFont="1" applyFill="1" applyBorder="1" applyAlignment="1">
      <alignment horizontal="center" vertical="center"/>
    </xf>
    <xf numFmtId="0" fontId="14" fillId="9" borderId="5" xfId="1" applyFont="1" applyFill="1" applyBorder="1" applyAlignment="1">
      <alignment horizontal="center" vertical="center" wrapText="1"/>
    </xf>
    <xf numFmtId="0" fontId="15" fillId="7" borderId="5" xfId="1" applyFont="1" applyFill="1" applyBorder="1" applyAlignment="1">
      <alignment horizontal="center" vertical="center"/>
    </xf>
    <xf numFmtId="0" fontId="2" fillId="0" borderId="5" xfId="1" applyFont="1" applyBorder="1" applyAlignment="1">
      <alignment horizontal="center" vertical="top" wrapText="1"/>
    </xf>
    <xf numFmtId="0" fontId="16" fillId="0" borderId="38" xfId="1" applyFont="1" applyBorder="1" applyAlignment="1">
      <alignment horizontal="center" vertical="center" wrapText="1"/>
    </xf>
    <xf numFmtId="0" fontId="15" fillId="9" borderId="5" xfId="1" applyFont="1" applyFill="1" applyBorder="1" applyAlignment="1">
      <alignment horizontal="center" vertical="center"/>
    </xf>
    <xf numFmtId="0" fontId="15" fillId="11" borderId="5" xfId="1" applyFont="1" applyFill="1" applyBorder="1" applyAlignment="1">
      <alignment horizontal="center" vertical="center" wrapText="1"/>
    </xf>
    <xf numFmtId="0" fontId="17" fillId="9" borderId="19" xfId="1" applyFont="1" applyFill="1" applyBorder="1" applyAlignment="1">
      <alignment horizontal="center" vertical="center" wrapText="1"/>
    </xf>
    <xf numFmtId="0" fontId="18" fillId="0" borderId="0" xfId="3"/>
    <xf numFmtId="0" fontId="18" fillId="3" borderId="0" xfId="3" applyFill="1"/>
    <xf numFmtId="0" fontId="20" fillId="3" borderId="0" xfId="3" applyFont="1" applyFill="1" applyAlignment="1">
      <alignment vertical="top"/>
    </xf>
    <xf numFmtId="0" fontId="0" fillId="0" borderId="5" xfId="1" applyFont="1" applyBorder="1" applyAlignment="1">
      <alignment horizontal="center" vertical="center" wrapText="1"/>
    </xf>
    <xf numFmtId="0" fontId="0" fillId="0" borderId="6" xfId="1" applyFont="1" applyBorder="1" applyAlignment="1">
      <alignment horizontal="center" vertical="center" wrapText="1"/>
    </xf>
    <xf numFmtId="0" fontId="3" fillId="0" borderId="41" xfId="2" applyBorder="1"/>
    <xf numFmtId="0" fontId="3" fillId="0" borderId="51" xfId="2" applyBorder="1"/>
    <xf numFmtId="0" fontId="3" fillId="0" borderId="41" xfId="2" applyBorder="1" applyAlignment="1">
      <alignment vertical="center"/>
    </xf>
    <xf numFmtId="0" fontId="3" fillId="0" borderId="51" xfId="2" applyBorder="1" applyAlignment="1">
      <alignment vertical="center"/>
    </xf>
    <xf numFmtId="0" fontId="6" fillId="10" borderId="41" xfId="2" applyFont="1" applyFill="1" applyBorder="1"/>
    <xf numFmtId="0" fontId="1" fillId="3" borderId="0" xfId="2" applyFont="1" applyFill="1"/>
    <xf numFmtId="0" fontId="30" fillId="0" borderId="27" xfId="0" applyFont="1" applyBorder="1" applyAlignment="1">
      <alignment horizontal="center" vertical="center"/>
    </xf>
    <xf numFmtId="0" fontId="30" fillId="0" borderId="18" xfId="0" applyFont="1" applyBorder="1" applyAlignment="1">
      <alignment horizontal="center" vertical="center"/>
    </xf>
    <xf numFmtId="0" fontId="30" fillId="2" borderId="29" xfId="0" applyFont="1" applyFill="1" applyBorder="1" applyAlignment="1">
      <alignment vertical="center" textRotation="90"/>
    </xf>
    <xf numFmtId="0" fontId="31" fillId="4" borderId="11" xfId="0" applyFont="1" applyFill="1" applyBorder="1" applyAlignment="1">
      <alignment horizontal="center" vertical="center"/>
    </xf>
    <xf numFmtId="0" fontId="31" fillId="6" borderId="12" xfId="0" applyFont="1" applyFill="1" applyBorder="1" applyAlignment="1">
      <alignment horizontal="center" vertical="center"/>
    </xf>
    <xf numFmtId="0" fontId="31" fillId="6" borderId="28" xfId="0" applyFont="1" applyFill="1" applyBorder="1" applyAlignment="1">
      <alignment horizontal="center" vertical="center"/>
    </xf>
    <xf numFmtId="0" fontId="31" fillId="4" borderId="26" xfId="0" applyFont="1" applyFill="1" applyBorder="1" applyAlignment="1">
      <alignment horizontal="center" vertical="center"/>
    </xf>
    <xf numFmtId="0" fontId="31" fillId="4" borderId="5" xfId="0" applyFont="1" applyFill="1" applyBorder="1" applyAlignment="1">
      <alignment horizontal="center" vertical="center"/>
    </xf>
    <xf numFmtId="0" fontId="31" fillId="6" borderId="5" xfId="0" applyFont="1" applyFill="1" applyBorder="1" applyAlignment="1">
      <alignment horizontal="center" vertical="center"/>
    </xf>
    <xf numFmtId="0" fontId="31" fillId="6" borderId="6" xfId="0" applyFont="1" applyFill="1" applyBorder="1" applyAlignment="1">
      <alignment horizontal="center" vertical="center"/>
    </xf>
    <xf numFmtId="0" fontId="31" fillId="5" borderId="26" xfId="0" applyFont="1" applyFill="1" applyBorder="1" applyAlignment="1">
      <alignment horizontal="center" vertical="center"/>
    </xf>
    <xf numFmtId="0" fontId="31" fillId="5" borderId="5" xfId="0" applyFont="1" applyFill="1" applyBorder="1" applyAlignment="1">
      <alignment horizontal="center" vertical="center"/>
    </xf>
    <xf numFmtId="0" fontId="31" fillId="5" borderId="14" xfId="0" applyFont="1" applyFill="1" applyBorder="1" applyAlignment="1">
      <alignment horizontal="center" vertical="center"/>
    </xf>
    <xf numFmtId="0" fontId="31" fillId="5" borderId="15" xfId="0" applyFont="1" applyFill="1" applyBorder="1" applyAlignment="1">
      <alignment horizontal="center" vertical="center"/>
    </xf>
    <xf numFmtId="0" fontId="31" fillId="4" borderId="15" xfId="0" applyFont="1" applyFill="1" applyBorder="1" applyAlignment="1">
      <alignment horizontal="center" vertical="center"/>
    </xf>
    <xf numFmtId="0" fontId="31" fillId="6" borderId="16" xfId="0" applyFont="1" applyFill="1" applyBorder="1" applyAlignment="1">
      <alignment horizontal="center" vertical="center"/>
    </xf>
    <xf numFmtId="0" fontId="32" fillId="0" borderId="26" xfId="0" applyFont="1" applyBorder="1" applyAlignment="1">
      <alignment horizontal="center" vertical="center"/>
    </xf>
    <xf numFmtId="0" fontId="32" fillId="0" borderId="14" xfId="0" applyFont="1" applyBorder="1" applyAlignment="1">
      <alignment horizontal="center" vertical="center"/>
    </xf>
    <xf numFmtId="0" fontId="29" fillId="0" borderId="26" xfId="0" applyFont="1" applyBorder="1" applyAlignment="1">
      <alignment horizontal="center" vertical="center" wrapText="1"/>
    </xf>
    <xf numFmtId="0" fontId="0" fillId="3" borderId="0" xfId="0" applyFill="1"/>
    <xf numFmtId="0" fontId="32" fillId="3" borderId="0" xfId="0" applyFont="1" applyFill="1" applyAlignment="1">
      <alignment horizontal="center" vertical="center"/>
    </xf>
    <xf numFmtId="0" fontId="32" fillId="3" borderId="25" xfId="0" applyFont="1" applyFill="1" applyBorder="1" applyAlignment="1">
      <alignment horizontal="center" vertical="center"/>
    </xf>
    <xf numFmtId="0" fontId="0" fillId="3" borderId="30" xfId="0" applyFill="1" applyBorder="1"/>
    <xf numFmtId="0" fontId="29" fillId="0" borderId="20" xfId="0" applyFont="1" applyBorder="1" applyAlignment="1">
      <alignment horizontal="left"/>
    </xf>
    <xf numFmtId="0" fontId="29" fillId="0" borderId="3" xfId="0" applyFont="1" applyBorder="1" applyAlignment="1">
      <alignment horizontal="left"/>
    </xf>
    <xf numFmtId="0" fontId="26" fillId="2" borderId="40" xfId="0" applyFont="1" applyFill="1" applyBorder="1" applyAlignment="1">
      <alignment horizontal="center" vertical="center"/>
    </xf>
    <xf numFmtId="0" fontId="32" fillId="0" borderId="11" xfId="0" applyFont="1" applyBorder="1" applyAlignment="1">
      <alignment horizontal="center" vertical="center"/>
    </xf>
    <xf numFmtId="0" fontId="30" fillId="0" borderId="13" xfId="0" applyFont="1" applyBorder="1" applyAlignment="1">
      <alignment horizontal="center" vertical="center"/>
    </xf>
    <xf numFmtId="0" fontId="30" fillId="0" borderId="11" xfId="0" applyFont="1" applyBorder="1" applyAlignment="1">
      <alignment horizontal="center" vertical="center"/>
    </xf>
    <xf numFmtId="0" fontId="30" fillId="0" borderId="26" xfId="0" applyFont="1" applyBorder="1" applyAlignment="1">
      <alignment horizontal="center" vertical="center"/>
    </xf>
    <xf numFmtId="0" fontId="30" fillId="0" borderId="14" xfId="0" applyFont="1" applyBorder="1" applyAlignment="1">
      <alignment horizontal="center" vertical="center"/>
    </xf>
    <xf numFmtId="0" fontId="36" fillId="0" borderId="5" xfId="3" applyFont="1" applyBorder="1"/>
    <xf numFmtId="0" fontId="36" fillId="0" borderId="0" xfId="3" applyFont="1" applyAlignment="1">
      <alignment horizontal="center"/>
    </xf>
    <xf numFmtId="0" fontId="36" fillId="0" borderId="0" xfId="3" applyFont="1"/>
    <xf numFmtId="0" fontId="36" fillId="12" borderId="5" xfId="3" applyFont="1" applyFill="1" applyBorder="1"/>
    <xf numFmtId="0" fontId="36" fillId="0" borderId="5" xfId="4" applyFont="1" applyBorder="1"/>
    <xf numFmtId="0" fontId="37" fillId="0" borderId="5" xfId="5" applyFont="1" applyBorder="1"/>
    <xf numFmtId="0" fontId="37" fillId="0" borderId="5" xfId="5" applyFont="1" applyBorder="1" applyAlignment="1">
      <alignment vertical="center" wrapText="1"/>
    </xf>
    <xf numFmtId="0" fontId="37" fillId="0" borderId="0" xfId="4" applyFont="1"/>
    <xf numFmtId="0" fontId="38" fillId="0" borderId="0" xfId="4" applyFont="1"/>
    <xf numFmtId="0" fontId="37" fillId="0" borderId="0" xfId="4" applyFont="1" applyAlignment="1">
      <alignment vertical="center" wrapText="1"/>
    </xf>
    <xf numFmtId="0" fontId="37" fillId="0" borderId="5" xfId="4" applyFont="1" applyBorder="1"/>
    <xf numFmtId="0" fontId="37" fillId="12" borderId="5" xfId="5" applyFont="1" applyFill="1" applyBorder="1"/>
    <xf numFmtId="0" fontId="29" fillId="0" borderId="26" xfId="0" applyFont="1" applyBorder="1" applyAlignment="1">
      <alignment horizontal="left" vertical="center" wrapText="1"/>
    </xf>
    <xf numFmtId="0" fontId="0" fillId="3" borderId="0" xfId="0" applyFill="1" applyAlignment="1">
      <alignment horizontal="left"/>
    </xf>
    <xf numFmtId="0" fontId="0" fillId="0" borderId="0" xfId="0" applyAlignment="1">
      <alignment horizontal="left"/>
    </xf>
    <xf numFmtId="1" fontId="46" fillId="14" borderId="12" xfId="6" applyNumberFormat="1" applyFont="1" applyFill="1" applyBorder="1" applyAlignment="1">
      <alignment horizontal="center" vertical="center" wrapText="1"/>
    </xf>
    <xf numFmtId="1" fontId="46" fillId="14" borderId="15" xfId="6" applyNumberFormat="1" applyFont="1" applyFill="1" applyBorder="1" applyAlignment="1">
      <alignment horizontal="center" vertical="center" wrapText="1"/>
    </xf>
    <xf numFmtId="49" fontId="46" fillId="14" borderId="15" xfId="6" applyNumberFormat="1" applyFont="1" applyFill="1" applyBorder="1" applyAlignment="1">
      <alignment horizontal="center" vertical="center" wrapText="1"/>
    </xf>
    <xf numFmtId="1" fontId="46" fillId="14" borderId="19" xfId="6" applyNumberFormat="1" applyFont="1" applyFill="1" applyBorder="1" applyAlignment="1">
      <alignment horizontal="center" vertical="center" wrapText="1"/>
    </xf>
    <xf numFmtId="0" fontId="46" fillId="15" borderId="15" xfId="0" applyFont="1" applyFill="1" applyBorder="1" applyAlignment="1">
      <alignment horizontal="center" vertical="top" wrapText="1"/>
    </xf>
    <xf numFmtId="0" fontId="46" fillId="15" borderId="59" xfId="0" applyFont="1" applyFill="1" applyBorder="1" applyAlignment="1">
      <alignment horizontal="center" vertical="top" wrapText="1"/>
    </xf>
    <xf numFmtId="0" fontId="46" fillId="15" borderId="68" xfId="0" applyFont="1" applyFill="1" applyBorder="1" applyAlignment="1">
      <alignment horizontal="center" vertical="top" wrapText="1"/>
    </xf>
    <xf numFmtId="49" fontId="48" fillId="3" borderId="10" xfId="0" applyNumberFormat="1" applyFont="1" applyFill="1" applyBorder="1" applyAlignment="1">
      <alignment vertical="center" wrapText="1"/>
    </xf>
    <xf numFmtId="49" fontId="48" fillId="3" borderId="10" xfId="0" applyNumberFormat="1" applyFont="1" applyFill="1" applyBorder="1" applyAlignment="1">
      <alignment horizontal="left" vertical="center" wrapText="1"/>
    </xf>
    <xf numFmtId="0" fontId="49" fillId="0" borderId="35" xfId="0" applyFont="1" applyBorder="1" applyAlignment="1">
      <alignment horizontal="center" vertical="center"/>
    </xf>
    <xf numFmtId="1" fontId="15" fillId="3" borderId="69" xfId="0" applyNumberFormat="1" applyFont="1" applyFill="1" applyBorder="1" applyAlignment="1">
      <alignment horizontal="center" vertical="center" wrapText="1"/>
    </xf>
    <xf numFmtId="49" fontId="15" fillId="3" borderId="10" xfId="0" applyNumberFormat="1" applyFont="1" applyFill="1" applyBorder="1" applyAlignment="1">
      <alignment horizontal="center" vertical="center" wrapText="1"/>
    </xf>
    <xf numFmtId="1" fontId="50" fillId="16" borderId="66" xfId="0" applyNumberFormat="1" applyFont="1" applyFill="1" applyBorder="1" applyAlignment="1">
      <alignment horizontal="center" vertical="center" wrapText="1"/>
    </xf>
    <xf numFmtId="49" fontId="48" fillId="3" borderId="60" xfId="0" applyNumberFormat="1" applyFont="1" applyFill="1" applyBorder="1" applyAlignment="1">
      <alignment vertical="center" wrapText="1"/>
    </xf>
    <xf numFmtId="49" fontId="15" fillId="3" borderId="11" xfId="0" applyNumberFormat="1" applyFont="1" applyFill="1" applyBorder="1" applyAlignment="1">
      <alignment horizontal="center" vertical="center" wrapText="1"/>
    </xf>
    <xf numFmtId="49" fontId="15" fillId="3" borderId="12" xfId="0" applyNumberFormat="1" applyFont="1" applyFill="1" applyBorder="1" applyAlignment="1">
      <alignment horizontal="center" vertical="center" wrapText="1"/>
    </xf>
    <xf numFmtId="0" fontId="49" fillId="0" borderId="34" xfId="0" applyFont="1" applyBorder="1" applyAlignment="1">
      <alignment horizontal="center" vertical="center"/>
    </xf>
    <xf numFmtId="0" fontId="49" fillId="0" borderId="10" xfId="0" applyFont="1" applyBorder="1" applyAlignment="1">
      <alignment horizontal="center" vertical="center"/>
    </xf>
    <xf numFmtId="0" fontId="49" fillId="0" borderId="10" xfId="0" applyFont="1" applyBorder="1"/>
    <xf numFmtId="49" fontId="48" fillId="3" borderId="5" xfId="0" applyNumberFormat="1" applyFont="1" applyFill="1" applyBorder="1" applyAlignment="1">
      <alignment vertical="center" wrapText="1"/>
    </xf>
    <xf numFmtId="49" fontId="48" fillId="3" borderId="5" xfId="0" applyNumberFormat="1" applyFont="1" applyFill="1" applyBorder="1" applyAlignment="1">
      <alignment horizontal="left" vertical="center" wrapText="1"/>
    </xf>
    <xf numFmtId="49" fontId="48" fillId="3" borderId="6" xfId="0" applyNumberFormat="1" applyFont="1" applyFill="1" applyBorder="1" applyAlignment="1">
      <alignment horizontal="center" vertical="center" wrapText="1"/>
    </xf>
    <xf numFmtId="1" fontId="15" fillId="3" borderId="26" xfId="0" applyNumberFormat="1" applyFont="1" applyFill="1" applyBorder="1" applyAlignment="1">
      <alignment horizontal="center" vertical="center" wrapText="1"/>
    </xf>
    <xf numFmtId="49" fontId="15" fillId="3" borderId="5" xfId="0" applyNumberFormat="1" applyFont="1" applyFill="1" applyBorder="1" applyAlignment="1">
      <alignment horizontal="center" vertical="center" wrapText="1"/>
    </xf>
    <xf numFmtId="1" fontId="50" fillId="16" borderId="64" xfId="0" applyNumberFormat="1" applyFont="1" applyFill="1" applyBorder="1" applyAlignment="1">
      <alignment horizontal="center" vertical="center" wrapText="1"/>
    </xf>
    <xf numFmtId="49" fontId="48" fillId="3" borderId="7" xfId="0" applyNumberFormat="1" applyFont="1" applyFill="1" applyBorder="1" applyAlignment="1">
      <alignment vertical="center" wrapText="1"/>
    </xf>
    <xf numFmtId="49" fontId="15" fillId="3" borderId="26" xfId="0" applyNumberFormat="1" applyFont="1" applyFill="1" applyBorder="1" applyAlignment="1">
      <alignment horizontal="center" vertical="center" wrapText="1"/>
    </xf>
    <xf numFmtId="0" fontId="49" fillId="0" borderId="8" xfId="0" applyFont="1" applyBorder="1" applyAlignment="1">
      <alignment horizontal="center" vertical="center"/>
    </xf>
    <xf numFmtId="0" fontId="49" fillId="0" borderId="5" xfId="0" applyFont="1" applyBorder="1" applyAlignment="1">
      <alignment horizontal="center" vertical="center"/>
    </xf>
    <xf numFmtId="0" fontId="49" fillId="0" borderId="5" xfId="0" applyFont="1" applyBorder="1"/>
    <xf numFmtId="0" fontId="49" fillId="0" borderId="6" xfId="0" applyFont="1" applyBorder="1" applyAlignment="1">
      <alignment horizontal="center" vertical="center"/>
    </xf>
    <xf numFmtId="0" fontId="48" fillId="0" borderId="5" xfId="0" applyFont="1" applyBorder="1" applyAlignment="1">
      <alignment vertical="center"/>
    </xf>
    <xf numFmtId="49" fontId="48" fillId="3" borderId="5" xfId="0" applyNumberFormat="1" applyFont="1" applyFill="1" applyBorder="1" applyAlignment="1">
      <alignment vertical="top" wrapText="1"/>
    </xf>
    <xf numFmtId="0" fontId="48" fillId="3" borderId="5" xfId="0" applyFont="1" applyFill="1" applyBorder="1" applyAlignment="1">
      <alignment vertical="center" wrapText="1"/>
    </xf>
    <xf numFmtId="0" fontId="48" fillId="0" borderId="6" xfId="0" applyFont="1" applyBorder="1" applyAlignment="1">
      <alignment horizontal="center" vertical="center"/>
    </xf>
    <xf numFmtId="0" fontId="49" fillId="0" borderId="5" xfId="0" applyFont="1" applyBorder="1" applyAlignment="1">
      <alignment vertical="center" wrapText="1"/>
    </xf>
    <xf numFmtId="49" fontId="48" fillId="3" borderId="7" xfId="0" applyNumberFormat="1" applyFont="1" applyFill="1" applyBorder="1" applyAlignment="1">
      <alignment vertical="top" wrapText="1"/>
    </xf>
    <xf numFmtId="0" fontId="49" fillId="0" borderId="8" xfId="0" applyFont="1" applyBorder="1"/>
    <xf numFmtId="0" fontId="51" fillId="3" borderId="26" xfId="0" applyFont="1" applyFill="1" applyBorder="1" applyAlignment="1">
      <alignment horizontal="center" vertical="center"/>
    </xf>
    <xf numFmtId="0" fontId="51" fillId="3" borderId="5" xfId="0" applyFont="1" applyFill="1" applyBorder="1" applyAlignment="1">
      <alignment horizontal="center" vertical="center"/>
    </xf>
    <xf numFmtId="1" fontId="51" fillId="17" borderId="27" xfId="0" applyNumberFormat="1" applyFont="1" applyFill="1" applyBorder="1" applyAlignment="1">
      <alignment horizontal="center" vertical="center"/>
    </xf>
    <xf numFmtId="0" fontId="48" fillId="0" borderId="5" xfId="0" applyFont="1" applyBorder="1" applyAlignment="1">
      <alignment horizontal="left" vertical="center" wrapText="1"/>
    </xf>
    <xf numFmtId="1" fontId="51" fillId="3" borderId="26" xfId="0" applyNumberFormat="1" applyFont="1" applyFill="1" applyBorder="1" applyAlignment="1">
      <alignment horizontal="center" vertical="center"/>
    </xf>
    <xf numFmtId="0" fontId="49" fillId="0" borderId="5" xfId="0" applyFont="1" applyBorder="1" applyAlignment="1">
      <alignment horizontal="left" vertical="center" wrapText="1"/>
    </xf>
    <xf numFmtId="1" fontId="51" fillId="0" borderId="27" xfId="0" applyNumberFormat="1" applyFont="1" applyBorder="1" applyAlignment="1">
      <alignment horizontal="center" vertical="center"/>
    </xf>
    <xf numFmtId="0" fontId="49" fillId="0" borderId="7" xfId="0" applyFont="1" applyBorder="1" applyAlignment="1">
      <alignment vertical="center" wrapText="1"/>
    </xf>
    <xf numFmtId="0" fontId="49" fillId="3" borderId="8" xfId="0" applyFont="1" applyFill="1" applyBorder="1"/>
    <xf numFmtId="0" fontId="52" fillId="0" borderId="5" xfId="0" applyFont="1" applyBorder="1" applyAlignment="1">
      <alignment horizontal="left" vertical="center" wrapText="1"/>
    </xf>
    <xf numFmtId="2" fontId="15" fillId="3" borderId="26" xfId="0" applyNumberFormat="1" applyFont="1" applyFill="1" applyBorder="1" applyAlignment="1">
      <alignment horizontal="center" vertical="center" wrapText="1"/>
    </xf>
    <xf numFmtId="0" fontId="48" fillId="0" borderId="5" xfId="0" applyFont="1" applyBorder="1"/>
    <xf numFmtId="0" fontId="49" fillId="0" borderId="5" xfId="0" applyFont="1" applyBorder="1" applyAlignment="1">
      <alignment vertical="center"/>
    </xf>
    <xf numFmtId="49" fontId="48" fillId="3" borderId="38" xfId="0" applyNumberFormat="1" applyFont="1" applyFill="1" applyBorder="1" applyAlignment="1">
      <alignment horizontal="left" vertical="center" wrapText="1"/>
    </xf>
    <xf numFmtId="49" fontId="48" fillId="3" borderId="9" xfId="0" applyNumberFormat="1" applyFont="1" applyFill="1" applyBorder="1" applyAlignment="1">
      <alignment vertical="center" wrapText="1"/>
    </xf>
    <xf numFmtId="1" fontId="51" fillId="0" borderId="18" xfId="0" applyNumberFormat="1" applyFont="1" applyBorder="1" applyAlignment="1">
      <alignment horizontal="center" vertical="center"/>
    </xf>
    <xf numFmtId="0" fontId="23" fillId="3" borderId="65" xfId="0" applyFont="1" applyFill="1" applyBorder="1" applyAlignment="1">
      <alignment horizontal="center" vertical="top"/>
    </xf>
    <xf numFmtId="0" fontId="29" fillId="3" borderId="46" xfId="0" applyFont="1" applyFill="1" applyBorder="1" applyAlignment="1">
      <alignment horizontal="center" vertical="center"/>
    </xf>
    <xf numFmtId="0" fontId="26" fillId="2" borderId="5" xfId="0" applyFont="1" applyFill="1" applyBorder="1" applyAlignment="1">
      <alignment horizontal="center" vertical="center"/>
    </xf>
    <xf numFmtId="0" fontId="29" fillId="0" borderId="5" xfId="0" applyFont="1" applyBorder="1" applyAlignment="1">
      <alignment horizontal="center" vertical="center" wrapText="1"/>
    </xf>
    <xf numFmtId="0" fontId="28" fillId="0" borderId="5" xfId="0" applyFont="1" applyBorder="1" applyAlignment="1">
      <alignment horizontal="center" vertical="center" wrapText="1"/>
    </xf>
    <xf numFmtId="0" fontId="39" fillId="0" borderId="5" xfId="0" applyFont="1" applyBorder="1" applyAlignment="1">
      <alignment horizontal="left" vertical="center" wrapText="1"/>
    </xf>
    <xf numFmtId="0" fontId="29" fillId="0" borderId="5" xfId="0" applyFont="1" applyBorder="1" applyAlignment="1">
      <alignment horizontal="left" vertical="center" wrapText="1"/>
    </xf>
    <xf numFmtId="0" fontId="28" fillId="0" borderId="5" xfId="0" applyFont="1" applyBorder="1" applyAlignment="1">
      <alignment horizontal="left" vertical="center" wrapText="1"/>
    </xf>
    <xf numFmtId="0" fontId="22" fillId="0" borderId="14" xfId="0" applyFont="1" applyBorder="1" applyAlignment="1">
      <alignment horizontal="center" wrapText="1"/>
    </xf>
    <xf numFmtId="0" fontId="29" fillId="0" borderId="15" xfId="0" applyFont="1" applyBorder="1" applyAlignment="1">
      <alignment horizontal="center" vertical="center" wrapText="1"/>
    </xf>
    <xf numFmtId="0" fontId="28" fillId="0" borderId="15" xfId="0" applyFont="1" applyBorder="1" applyAlignment="1">
      <alignment horizontal="center" vertical="center" wrapText="1"/>
    </xf>
    <xf numFmtId="0" fontId="29" fillId="0" borderId="15" xfId="0" applyFont="1" applyBorder="1" applyAlignment="1">
      <alignment horizontal="left" vertical="center" wrapText="1"/>
    </xf>
    <xf numFmtId="0" fontId="29" fillId="3" borderId="5" xfId="0" applyFont="1" applyFill="1" applyBorder="1" applyAlignment="1">
      <alignment horizontal="left" vertical="center" wrapText="1"/>
    </xf>
    <xf numFmtId="0" fontId="34" fillId="6" borderId="0" xfId="0" applyFont="1" applyFill="1" applyAlignment="1">
      <alignment horizontal="center" vertical="center" wrapText="1"/>
    </xf>
    <xf numFmtId="0" fontId="34" fillId="6" borderId="24" xfId="0" applyFont="1" applyFill="1" applyBorder="1" applyAlignment="1">
      <alignment horizontal="center" vertical="center" wrapText="1"/>
    </xf>
    <xf numFmtId="0" fontId="39" fillId="0" borderId="5" xfId="0" applyFont="1" applyBorder="1" applyAlignment="1">
      <alignment horizontal="left" vertical="center" wrapText="1"/>
    </xf>
    <xf numFmtId="0" fontId="26" fillId="2" borderId="12" xfId="0" applyFont="1" applyFill="1" applyBorder="1" applyAlignment="1">
      <alignment horizontal="center" vertical="center"/>
    </xf>
    <xf numFmtId="0" fontId="26" fillId="2" borderId="13" xfId="0" applyFont="1" applyFill="1" applyBorder="1" applyAlignment="1">
      <alignment horizontal="center" vertical="center"/>
    </xf>
    <xf numFmtId="0" fontId="26" fillId="2" borderId="5" xfId="0" applyFont="1" applyFill="1" applyBorder="1" applyAlignment="1">
      <alignment horizontal="center" vertical="center"/>
    </xf>
    <xf numFmtId="0" fontId="26" fillId="2" borderId="27" xfId="0" applyFont="1" applyFill="1" applyBorder="1" applyAlignment="1">
      <alignment horizontal="center" vertical="center"/>
    </xf>
    <xf numFmtId="0" fontId="35" fillId="2" borderId="12" xfId="0" applyFont="1" applyFill="1" applyBorder="1" applyAlignment="1">
      <alignment horizontal="center" vertical="center"/>
    </xf>
    <xf numFmtId="0" fontId="26" fillId="0" borderId="57" xfId="0" applyFont="1" applyBorder="1" applyAlignment="1">
      <alignment horizontal="center" vertical="center"/>
    </xf>
    <xf numFmtId="0" fontId="34" fillId="4" borderId="0" xfId="0" applyFont="1" applyFill="1" applyAlignment="1">
      <alignment horizontal="center" vertical="top" wrapText="1"/>
    </xf>
    <xf numFmtId="0" fontId="34" fillId="4" borderId="24" xfId="0" applyFont="1" applyFill="1" applyBorder="1" applyAlignment="1">
      <alignment horizontal="center" vertical="top" wrapText="1"/>
    </xf>
    <xf numFmtId="0" fontId="29" fillId="3" borderId="55" xfId="0" applyFont="1" applyFill="1" applyBorder="1" applyAlignment="1">
      <alignment horizontal="center" vertical="center"/>
    </xf>
    <xf numFmtId="0" fontId="29" fillId="3" borderId="25" xfId="0" applyFont="1" applyFill="1" applyBorder="1" applyAlignment="1">
      <alignment horizontal="center" vertical="center"/>
    </xf>
    <xf numFmtId="164" fontId="29" fillId="3" borderId="55" xfId="0" applyNumberFormat="1" applyFont="1" applyFill="1" applyBorder="1" applyAlignment="1">
      <alignment horizontal="center" vertical="center"/>
    </xf>
    <xf numFmtId="164" fontId="29" fillId="3" borderId="25" xfId="0" applyNumberFormat="1" applyFont="1" applyFill="1" applyBorder="1" applyAlignment="1">
      <alignment horizontal="center" vertical="center"/>
    </xf>
    <xf numFmtId="164" fontId="29" fillId="3" borderId="52" xfId="0" applyNumberFormat="1" applyFont="1" applyFill="1" applyBorder="1" applyAlignment="1">
      <alignment horizontal="center" vertical="center"/>
    </xf>
    <xf numFmtId="0" fontId="32" fillId="2" borderId="12" xfId="0" applyFont="1" applyFill="1" applyBorder="1" applyAlignment="1">
      <alignment horizontal="center" vertical="center"/>
    </xf>
    <xf numFmtId="0" fontId="32" fillId="2" borderId="13" xfId="0" applyFont="1" applyFill="1" applyBorder="1" applyAlignment="1">
      <alignment horizontal="center" vertical="center"/>
    </xf>
    <xf numFmtId="0" fontId="32" fillId="2" borderId="19" xfId="0" applyFont="1" applyFill="1" applyBorder="1" applyAlignment="1">
      <alignment horizontal="center" vertical="center"/>
    </xf>
    <xf numFmtId="0" fontId="32" fillId="2" borderId="64" xfId="0" applyFont="1" applyFill="1" applyBorder="1" applyAlignment="1">
      <alignment horizontal="center" vertical="center"/>
    </xf>
    <xf numFmtId="0" fontId="27" fillId="2" borderId="30" xfId="0" applyFont="1" applyFill="1" applyBorder="1" applyAlignment="1">
      <alignment horizontal="center" vertical="center"/>
    </xf>
    <xf numFmtId="0" fontId="27" fillId="2" borderId="32" xfId="0" applyFont="1" applyFill="1" applyBorder="1" applyAlignment="1">
      <alignment horizontal="center" vertical="center"/>
    </xf>
    <xf numFmtId="0" fontId="27" fillId="11" borderId="61" xfId="0" applyFont="1" applyFill="1" applyBorder="1" applyAlignment="1">
      <alignment horizontal="left" vertical="center"/>
    </xf>
    <xf numFmtId="0" fontId="27" fillId="11" borderId="60" xfId="0" applyFont="1" applyFill="1" applyBorder="1" applyAlignment="1">
      <alignment horizontal="left" vertical="center"/>
    </xf>
    <xf numFmtId="0" fontId="27" fillId="11" borderId="34" xfId="0" applyFont="1" applyFill="1" applyBorder="1" applyAlignment="1">
      <alignment horizontal="left" vertical="center"/>
    </xf>
    <xf numFmtId="0" fontId="25" fillId="3" borderId="23" xfId="0" applyFont="1" applyFill="1" applyBorder="1" applyAlignment="1">
      <alignment horizontal="center" vertical="center"/>
    </xf>
    <xf numFmtId="0" fontId="25" fillId="3" borderId="0" xfId="0" applyFont="1" applyFill="1" applyAlignment="1">
      <alignment horizontal="center" vertical="center"/>
    </xf>
    <xf numFmtId="0" fontId="25" fillId="3" borderId="24" xfId="0" applyFont="1" applyFill="1" applyBorder="1" applyAlignment="1">
      <alignment horizontal="center" vertical="center"/>
    </xf>
    <xf numFmtId="0" fontId="25" fillId="3" borderId="3" xfId="0" applyFont="1" applyFill="1" applyBorder="1" applyAlignment="1">
      <alignment horizontal="center" vertical="center"/>
    </xf>
    <xf numFmtId="0" fontId="25" fillId="3" borderId="25" xfId="0" applyFont="1" applyFill="1" applyBorder="1" applyAlignment="1">
      <alignment horizontal="center" vertical="center"/>
    </xf>
    <xf numFmtId="0" fontId="25" fillId="3" borderId="4" xfId="0" applyFont="1" applyFill="1" applyBorder="1" applyAlignment="1">
      <alignment horizontal="center" vertical="center"/>
    </xf>
    <xf numFmtId="0" fontId="32" fillId="2" borderId="29" xfId="0" applyFont="1" applyFill="1" applyBorder="1" applyAlignment="1">
      <alignment horizontal="center" vertical="center"/>
    </xf>
    <xf numFmtId="0" fontId="0" fillId="3" borderId="31" xfId="0" applyFill="1" applyBorder="1" applyAlignment="1">
      <alignment horizontal="center"/>
    </xf>
    <xf numFmtId="0" fontId="0" fillId="3" borderId="30" xfId="0" applyFill="1" applyBorder="1" applyAlignment="1">
      <alignment horizontal="center"/>
    </xf>
    <xf numFmtId="165" fontId="59" fillId="3" borderId="16" xfId="0" applyNumberFormat="1" applyFont="1" applyFill="1" applyBorder="1" applyAlignment="1">
      <alignment horizontal="center" vertical="center"/>
    </xf>
    <xf numFmtId="165" fontId="59" fillId="3" borderId="49" xfId="0" applyNumberFormat="1" applyFont="1" applyFill="1" applyBorder="1" applyAlignment="1">
      <alignment horizontal="center" vertical="center"/>
    </xf>
    <xf numFmtId="165" fontId="59" fillId="3" borderId="17" xfId="0" applyNumberFormat="1" applyFont="1" applyFill="1" applyBorder="1" applyAlignment="1">
      <alignment horizontal="center" vertical="center"/>
    </xf>
    <xf numFmtId="0" fontId="26" fillId="0" borderId="58" xfId="0" applyFont="1" applyBorder="1" applyAlignment="1">
      <alignment horizontal="center" vertical="center"/>
    </xf>
    <xf numFmtId="0" fontId="29" fillId="3" borderId="30" xfId="0" applyFont="1" applyFill="1" applyBorder="1" applyAlignment="1">
      <alignment horizontal="center" vertical="center"/>
    </xf>
    <xf numFmtId="0" fontId="29" fillId="3" borderId="32" xfId="0" applyFont="1" applyFill="1" applyBorder="1" applyAlignment="1">
      <alignment horizontal="center" vertical="center"/>
    </xf>
    <xf numFmtId="0" fontId="27" fillId="11" borderId="35" xfId="0" applyFont="1" applyFill="1" applyBorder="1" applyAlignment="1">
      <alignment horizontal="center" vertical="center"/>
    </xf>
    <xf numFmtId="0" fontId="27" fillId="11" borderId="62" xfId="0" applyFont="1" applyFill="1" applyBorder="1" applyAlignment="1">
      <alignment horizontal="center" vertical="center"/>
    </xf>
    <xf numFmtId="0" fontId="22" fillId="0" borderId="26" xfId="0" applyFont="1" applyBorder="1" applyAlignment="1">
      <alignment horizontal="left" vertical="center" wrapText="1"/>
    </xf>
    <xf numFmtId="0" fontId="22" fillId="0" borderId="5" xfId="0" applyFont="1" applyBorder="1" applyAlignment="1">
      <alignment horizontal="left" vertical="center" wrapText="1"/>
    </xf>
    <xf numFmtId="0" fontId="27" fillId="2" borderId="28" xfId="0" applyFont="1" applyFill="1" applyBorder="1" applyAlignment="1">
      <alignment horizontal="center" vertical="center"/>
    </xf>
    <xf numFmtId="0" fontId="27" fillId="2" borderId="21" xfId="0" applyFont="1" applyFill="1" applyBorder="1" applyAlignment="1">
      <alignment horizontal="center" vertical="center"/>
    </xf>
    <xf numFmtId="0" fontId="27" fillId="2" borderId="22" xfId="0" applyFont="1" applyFill="1" applyBorder="1" applyAlignment="1">
      <alignment horizontal="center" vertical="center"/>
    </xf>
    <xf numFmtId="0" fontId="32" fillId="2" borderId="11" xfId="0" applyFont="1" applyFill="1" applyBorder="1" applyAlignment="1">
      <alignment horizontal="center" vertical="center"/>
    </xf>
    <xf numFmtId="0" fontId="32" fillId="2" borderId="63" xfId="0" applyFont="1" applyFill="1" applyBorder="1" applyAlignment="1">
      <alignment horizontal="center" vertical="center"/>
    </xf>
    <xf numFmtId="0" fontId="29" fillId="0" borderId="5" xfId="0" applyFont="1" applyBorder="1" applyAlignment="1">
      <alignment vertical="top" wrapText="1"/>
    </xf>
    <xf numFmtId="0" fontId="29" fillId="0" borderId="27" xfId="0" applyFont="1" applyBorder="1" applyAlignment="1">
      <alignment vertical="top" wrapText="1"/>
    </xf>
    <xf numFmtId="0" fontId="29" fillId="0" borderId="5" xfId="0" applyFont="1" applyBorder="1" applyAlignment="1">
      <alignment horizontal="left" vertical="center" wrapText="1"/>
    </xf>
    <xf numFmtId="0" fontId="29" fillId="0" borderId="27" xfId="0" applyFont="1" applyBorder="1" applyAlignment="1">
      <alignment horizontal="left" vertical="center" wrapText="1"/>
    </xf>
    <xf numFmtId="0" fontId="26" fillId="2" borderId="11" xfId="0" applyFont="1" applyFill="1" applyBorder="1" applyAlignment="1">
      <alignment horizontal="center" vertical="center"/>
    </xf>
    <xf numFmtId="0" fontId="26" fillId="2" borderId="26" xfId="0" applyFont="1" applyFill="1" applyBorder="1" applyAlignment="1">
      <alignment horizontal="center" vertical="center"/>
    </xf>
    <xf numFmtId="0" fontId="32" fillId="2" borderId="0" xfId="0" applyFont="1" applyFill="1" applyAlignment="1">
      <alignment horizontal="center" vertical="center" textRotation="90"/>
    </xf>
    <xf numFmtId="0" fontId="32" fillId="2" borderId="25" xfId="0" applyFont="1" applyFill="1" applyBorder="1" applyAlignment="1">
      <alignment horizontal="center" vertical="center" textRotation="90"/>
    </xf>
    <xf numFmtId="0" fontId="27" fillId="0" borderId="1" xfId="0" applyFont="1" applyBorder="1" applyAlignment="1">
      <alignment horizontal="center" vertical="center"/>
    </xf>
    <xf numFmtId="0" fontId="27" fillId="0" borderId="29" xfId="0" applyFont="1" applyBorder="1" applyAlignment="1">
      <alignment horizontal="center" vertical="center"/>
    </xf>
    <xf numFmtId="0" fontId="27" fillId="0" borderId="2" xfId="0" applyFont="1" applyBorder="1" applyAlignment="1">
      <alignment horizontal="center" vertical="center"/>
    </xf>
    <xf numFmtId="0" fontId="34" fillId="5" borderId="0" xfId="0" applyFont="1" applyFill="1" applyAlignment="1">
      <alignment horizontal="center" vertical="center" wrapText="1"/>
    </xf>
    <xf numFmtId="0" fontId="34" fillId="5" borderId="24" xfId="0" applyFont="1" applyFill="1" applyBorder="1" applyAlignment="1">
      <alignment horizontal="center" vertical="center" wrapText="1"/>
    </xf>
    <xf numFmtId="0" fontId="34" fillId="5" borderId="25" xfId="0" applyFont="1" applyFill="1" applyBorder="1" applyAlignment="1">
      <alignment horizontal="center" vertical="center" wrapText="1"/>
    </xf>
    <xf numFmtId="0" fontId="34" fillId="5" borderId="4" xfId="0" applyFont="1" applyFill="1" applyBorder="1" applyAlignment="1">
      <alignment horizontal="center" vertical="center" wrapText="1"/>
    </xf>
    <xf numFmtId="0" fontId="23" fillId="3" borderId="1" xfId="0" applyFont="1" applyFill="1" applyBorder="1" applyAlignment="1">
      <alignment horizontal="center" vertical="center" wrapText="1"/>
    </xf>
    <xf numFmtId="0" fontId="23" fillId="3" borderId="29" xfId="0" applyFont="1" applyFill="1" applyBorder="1" applyAlignment="1">
      <alignment horizontal="center" vertical="center" wrapText="1"/>
    </xf>
    <xf numFmtId="0" fontId="23" fillId="3" borderId="2" xfId="0" applyFont="1" applyFill="1" applyBorder="1" applyAlignment="1">
      <alignment horizontal="center" vertical="center" wrapText="1"/>
    </xf>
    <xf numFmtId="0" fontId="24" fillId="3" borderId="3" xfId="0" applyFont="1" applyFill="1" applyBorder="1" applyAlignment="1">
      <alignment horizontal="center" vertical="center"/>
    </xf>
    <xf numFmtId="0" fontId="24" fillId="3" borderId="25" xfId="0" applyFont="1" applyFill="1" applyBorder="1" applyAlignment="1">
      <alignment horizontal="center" vertical="center"/>
    </xf>
    <xf numFmtId="0" fontId="24" fillId="3" borderId="4" xfId="0" applyFont="1" applyFill="1" applyBorder="1" applyAlignment="1">
      <alignment horizontal="center" vertical="center"/>
    </xf>
    <xf numFmtId="0" fontId="29" fillId="2" borderId="23" xfId="0" applyFont="1" applyFill="1" applyBorder="1" applyAlignment="1">
      <alignment horizontal="left"/>
    </xf>
    <xf numFmtId="0" fontId="29" fillId="2" borderId="0" xfId="0" applyFont="1" applyFill="1" applyAlignment="1">
      <alignment horizontal="left"/>
    </xf>
    <xf numFmtId="0" fontId="29" fillId="2" borderId="24" xfId="0" applyFont="1" applyFill="1" applyBorder="1" applyAlignment="1">
      <alignment horizontal="left"/>
    </xf>
    <xf numFmtId="0" fontId="23" fillId="3" borderId="53" xfId="0" applyFont="1" applyFill="1" applyBorder="1" applyAlignment="1">
      <alignment horizontal="center" vertical="top"/>
    </xf>
    <xf numFmtId="0" fontId="23" fillId="3" borderId="2" xfId="0" applyFont="1" applyFill="1" applyBorder="1" applyAlignment="1">
      <alignment horizontal="center" vertical="top"/>
    </xf>
    <xf numFmtId="0" fontId="29" fillId="3" borderId="4" xfId="0" applyFont="1" applyFill="1" applyBorder="1" applyAlignment="1">
      <alignment horizontal="center" vertical="center"/>
    </xf>
    <xf numFmtId="0" fontId="27" fillId="2" borderId="20" xfId="0" applyFont="1" applyFill="1" applyBorder="1" applyAlignment="1">
      <alignment horizontal="left" vertical="center"/>
    </xf>
    <xf numFmtId="0" fontId="27" fillId="2" borderId="21" xfId="0" applyFont="1" applyFill="1" applyBorder="1" applyAlignment="1">
      <alignment horizontal="left" vertical="center"/>
    </xf>
    <xf numFmtId="0" fontId="29" fillId="3" borderId="50" xfId="0" applyFont="1" applyFill="1" applyBorder="1" applyAlignment="1">
      <alignment horizontal="left" vertical="center"/>
    </xf>
    <xf numFmtId="0" fontId="29" fillId="3" borderId="49" xfId="0" applyFont="1" applyFill="1" applyBorder="1" applyAlignment="1">
      <alignment horizontal="left" vertical="center"/>
    </xf>
    <xf numFmtId="0" fontId="29" fillId="3" borderId="17" xfId="0" applyFont="1" applyFill="1" applyBorder="1" applyAlignment="1">
      <alignment horizontal="left" vertical="center"/>
    </xf>
    <xf numFmtId="165" fontId="59" fillId="3" borderId="56" xfId="0" applyNumberFormat="1" applyFont="1" applyFill="1" applyBorder="1" applyAlignment="1">
      <alignment horizontal="center" vertical="center"/>
    </xf>
    <xf numFmtId="0" fontId="27" fillId="11" borderId="60" xfId="0" applyFont="1" applyFill="1" applyBorder="1" applyAlignment="1">
      <alignment horizontal="center" vertical="center"/>
    </xf>
    <xf numFmtId="0" fontId="27" fillId="11" borderId="34" xfId="0" applyFont="1" applyFill="1" applyBorder="1" applyAlignment="1">
      <alignment horizontal="center" vertical="center"/>
    </xf>
    <xf numFmtId="0" fontId="23" fillId="3" borderId="1" xfId="0" applyFont="1" applyFill="1" applyBorder="1" applyAlignment="1">
      <alignment horizontal="center" vertical="top"/>
    </xf>
    <xf numFmtId="0" fontId="23" fillId="3" borderId="29" xfId="0" applyFont="1" applyFill="1" applyBorder="1" applyAlignment="1">
      <alignment horizontal="center" vertical="top"/>
    </xf>
    <xf numFmtId="0" fontId="0" fillId="0" borderId="1" xfId="0" applyBorder="1" applyAlignment="1">
      <alignment horizontal="center"/>
    </xf>
    <xf numFmtId="0" fontId="0" fillId="0" borderId="29" xfId="0" applyBorder="1" applyAlignment="1">
      <alignment horizontal="center"/>
    </xf>
    <xf numFmtId="0" fontId="0" fillId="0" borderId="2" xfId="0" applyBorder="1" applyAlignment="1">
      <alignment horizontal="center"/>
    </xf>
    <xf numFmtId="0" fontId="0" fillId="0" borderId="23" xfId="0" applyBorder="1" applyAlignment="1">
      <alignment horizontal="center"/>
    </xf>
    <xf numFmtId="0" fontId="0" fillId="0" borderId="0" xfId="0" applyAlignment="1">
      <alignment horizontal="center"/>
    </xf>
    <xf numFmtId="0" fontId="0" fillId="0" borderId="24" xfId="0" applyBorder="1" applyAlignment="1">
      <alignment horizontal="center"/>
    </xf>
    <xf numFmtId="0" fontId="27" fillId="2" borderId="11" xfId="0" applyFont="1" applyFill="1" applyBorder="1" applyAlignment="1">
      <alignment horizontal="left" vertical="center"/>
    </xf>
    <xf numFmtId="0" fontId="27" fillId="2" borderId="12" xfId="0" applyFont="1" applyFill="1" applyBorder="1" applyAlignment="1">
      <alignment horizontal="left" vertical="center"/>
    </xf>
    <xf numFmtId="0" fontId="27" fillId="2" borderId="13" xfId="0" applyFont="1" applyFill="1" applyBorder="1" applyAlignment="1">
      <alignment horizontal="left" vertical="center"/>
    </xf>
    <xf numFmtId="0" fontId="29" fillId="3" borderId="50" xfId="0" applyFont="1" applyFill="1" applyBorder="1" applyAlignment="1">
      <alignment horizontal="center" vertical="center"/>
    </xf>
    <xf numFmtId="0" fontId="29" fillId="3" borderId="49" xfId="0" applyFont="1" applyFill="1" applyBorder="1" applyAlignment="1">
      <alignment horizontal="center" vertical="center"/>
    </xf>
    <xf numFmtId="0" fontId="23" fillId="3" borderId="54" xfId="0" applyFont="1" applyFill="1" applyBorder="1" applyAlignment="1">
      <alignment horizontal="center" vertical="top"/>
    </xf>
    <xf numFmtId="164" fontId="58" fillId="3" borderId="16" xfId="0" applyNumberFormat="1" applyFont="1" applyFill="1" applyBorder="1" applyAlignment="1">
      <alignment horizontal="center" vertical="center"/>
    </xf>
    <xf numFmtId="164" fontId="58" fillId="3" borderId="56" xfId="0" applyNumberFormat="1" applyFont="1" applyFill="1" applyBorder="1" applyAlignment="1">
      <alignment horizontal="center" vertical="center"/>
    </xf>
    <xf numFmtId="0" fontId="27" fillId="2" borderId="20" xfId="0" applyFont="1" applyFill="1" applyBorder="1" applyAlignment="1">
      <alignment horizontal="left"/>
    </xf>
    <xf numFmtId="0" fontId="27" fillId="2" borderId="21" xfId="0" applyFont="1" applyFill="1" applyBorder="1" applyAlignment="1">
      <alignment horizontal="left"/>
    </xf>
    <xf numFmtId="0" fontId="27" fillId="2" borderId="48" xfId="0" applyFont="1" applyFill="1" applyBorder="1" applyAlignment="1">
      <alignment horizontal="left"/>
    </xf>
    <xf numFmtId="0" fontId="27" fillId="2" borderId="50" xfId="0" applyFont="1" applyFill="1" applyBorder="1" applyAlignment="1">
      <alignment horizontal="left"/>
    </xf>
    <xf numFmtId="0" fontId="27" fillId="2" borderId="49" xfId="0" applyFont="1" applyFill="1" applyBorder="1" applyAlignment="1">
      <alignment horizontal="left"/>
    </xf>
    <xf numFmtId="0" fontId="27" fillId="2" borderId="17" xfId="0" applyFont="1" applyFill="1" applyBorder="1" applyAlignment="1">
      <alignment horizontal="left"/>
    </xf>
    <xf numFmtId="0" fontId="26" fillId="2" borderId="31" xfId="0" applyFont="1" applyFill="1" applyBorder="1" applyAlignment="1">
      <alignment horizontal="left" vertical="center"/>
    </xf>
    <xf numFmtId="0" fontId="26" fillId="2" borderId="30" xfId="0" applyFont="1" applyFill="1" applyBorder="1" applyAlignment="1">
      <alignment horizontal="left" vertical="center"/>
    </xf>
    <xf numFmtId="0" fontId="26" fillId="2" borderId="32" xfId="0" applyFont="1" applyFill="1" applyBorder="1" applyAlignment="1">
      <alignment horizontal="left" vertical="center"/>
    </xf>
    <xf numFmtId="0" fontId="40" fillId="3" borderId="15" xfId="0" applyFont="1" applyFill="1" applyBorder="1" applyAlignment="1">
      <alignment horizontal="left" vertical="center" wrapText="1"/>
    </xf>
    <xf numFmtId="0" fontId="41" fillId="3" borderId="15" xfId="0" applyFont="1" applyFill="1" applyBorder="1" applyAlignment="1">
      <alignment horizontal="left" vertical="center" wrapText="1"/>
    </xf>
    <xf numFmtId="0" fontId="29" fillId="0" borderId="28" xfId="0" applyFont="1" applyBorder="1" applyAlignment="1">
      <alignment horizontal="left"/>
    </xf>
    <xf numFmtId="0" fontId="29" fillId="0" borderId="21" xfId="0" applyFont="1" applyBorder="1" applyAlignment="1">
      <alignment horizontal="left"/>
    </xf>
    <xf numFmtId="0" fontId="29" fillId="0" borderId="22" xfId="0" applyFont="1" applyBorder="1" applyAlignment="1">
      <alignment horizontal="left"/>
    </xf>
    <xf numFmtId="0" fontId="29" fillId="0" borderId="16" xfId="0" applyFont="1" applyBorder="1" applyAlignment="1">
      <alignment horizontal="left"/>
    </xf>
    <xf numFmtId="0" fontId="29" fillId="0" borderId="49" xfId="0" applyFont="1" applyBorder="1" applyAlignment="1">
      <alignment horizontal="left"/>
    </xf>
    <xf numFmtId="0" fontId="29" fillId="0" borderId="56" xfId="0" applyFont="1" applyBorder="1" applyAlignment="1">
      <alignment horizontal="left"/>
    </xf>
    <xf numFmtId="0" fontId="29" fillId="0" borderId="15" xfId="0" applyFont="1" applyBorder="1" applyAlignment="1">
      <alignment horizontal="left" vertical="center" wrapText="1"/>
    </xf>
    <xf numFmtId="0" fontId="29" fillId="0" borderId="18" xfId="0" applyFont="1" applyBorder="1" applyAlignment="1">
      <alignment horizontal="left" vertical="center" wrapText="1"/>
    </xf>
    <xf numFmtId="0" fontId="56" fillId="0" borderId="1" xfId="0" applyFont="1" applyBorder="1" applyAlignment="1">
      <alignment horizontal="left" vertical="top" wrapText="1"/>
    </xf>
    <xf numFmtId="0" fontId="56" fillId="0" borderId="29" xfId="0" applyFont="1" applyBorder="1" applyAlignment="1">
      <alignment horizontal="left" vertical="top" wrapText="1"/>
    </xf>
    <xf numFmtId="0" fontId="56" fillId="0" borderId="2" xfId="0" applyFont="1" applyBorder="1" applyAlignment="1">
      <alignment horizontal="left" vertical="top" wrapText="1"/>
    </xf>
    <xf numFmtId="14" fontId="29" fillId="3" borderId="49" xfId="0" applyNumberFormat="1" applyFont="1" applyFill="1" applyBorder="1" applyAlignment="1">
      <alignment horizontal="center"/>
    </xf>
    <xf numFmtId="0" fontId="29" fillId="3" borderId="49" xfId="0" applyFont="1" applyFill="1" applyBorder="1" applyAlignment="1">
      <alignment horizontal="center"/>
    </xf>
    <xf numFmtId="0" fontId="29" fillId="3" borderId="56" xfId="0" applyFont="1" applyFill="1" applyBorder="1" applyAlignment="1">
      <alignment horizontal="center"/>
    </xf>
    <xf numFmtId="0" fontId="29" fillId="0" borderId="20" xfId="0" applyFont="1" applyBorder="1" applyAlignment="1">
      <alignment horizontal="left"/>
    </xf>
    <xf numFmtId="0" fontId="29" fillId="0" borderId="3" xfId="0" applyFont="1" applyBorder="1" applyAlignment="1">
      <alignment horizontal="left"/>
    </xf>
    <xf numFmtId="0" fontId="29" fillId="0" borderId="25" xfId="0" applyFont="1" applyBorder="1" applyAlignment="1">
      <alignment horizontal="left"/>
    </xf>
    <xf numFmtId="0" fontId="29" fillId="0" borderId="4" xfId="0" applyFont="1" applyBorder="1" applyAlignment="1">
      <alignment horizontal="left"/>
    </xf>
    <xf numFmtId="0" fontId="14" fillId="9" borderId="6" xfId="1" applyFont="1" applyFill="1" applyBorder="1" applyAlignment="1">
      <alignment horizontal="center" vertical="center" wrapText="1"/>
    </xf>
    <xf numFmtId="0" fontId="14" fillId="9" borderId="7" xfId="1" applyFont="1" applyFill="1" applyBorder="1" applyAlignment="1">
      <alignment horizontal="center" vertical="center" wrapText="1"/>
    </xf>
    <xf numFmtId="0" fontId="14" fillId="9" borderId="8" xfId="1" applyFont="1" applyFill="1" applyBorder="1" applyAlignment="1">
      <alignment horizontal="center" vertical="center" wrapText="1"/>
    </xf>
    <xf numFmtId="0" fontId="9" fillId="9" borderId="5" xfId="1" applyFont="1" applyFill="1" applyBorder="1" applyAlignment="1">
      <alignment horizontal="center" vertical="center" wrapText="1"/>
    </xf>
    <xf numFmtId="0" fontId="9" fillId="9" borderId="5" xfId="1" applyFont="1" applyFill="1" applyBorder="1" applyAlignment="1">
      <alignment horizontal="center" vertical="center"/>
    </xf>
    <xf numFmtId="0" fontId="9" fillId="9" borderId="38" xfId="1" applyFont="1" applyFill="1" applyBorder="1" applyAlignment="1">
      <alignment horizontal="center" vertical="center"/>
    </xf>
    <xf numFmtId="0" fontId="9" fillId="9" borderId="37" xfId="1" applyFont="1" applyFill="1" applyBorder="1" applyAlignment="1">
      <alignment horizontal="center" vertical="center"/>
    </xf>
    <xf numFmtId="0" fontId="9" fillId="9" borderId="35" xfId="1" applyFont="1" applyFill="1" applyBorder="1" applyAlignment="1">
      <alignment horizontal="center" vertical="center"/>
    </xf>
    <xf numFmtId="0" fontId="9" fillId="9" borderId="34" xfId="1" applyFont="1" applyFill="1" applyBorder="1" applyAlignment="1">
      <alignment horizontal="center" vertical="center"/>
    </xf>
    <xf numFmtId="0" fontId="5" fillId="7" borderId="39" xfId="1" applyFont="1" applyFill="1" applyBorder="1" applyAlignment="1">
      <alignment horizontal="left" vertical="top" wrapText="1"/>
    </xf>
    <xf numFmtId="0" fontId="5" fillId="7" borderId="36" xfId="1" applyFont="1" applyFill="1" applyBorder="1" applyAlignment="1">
      <alignment horizontal="left" vertical="top"/>
    </xf>
    <xf numFmtId="0" fontId="5" fillId="7" borderId="33" xfId="1" applyFont="1" applyFill="1" applyBorder="1" applyAlignment="1">
      <alignment horizontal="left" vertical="top"/>
    </xf>
    <xf numFmtId="0" fontId="7" fillId="3" borderId="0" xfId="1" applyFont="1" applyFill="1" applyAlignment="1">
      <alignment horizontal="center" vertical="center" textRotation="90"/>
    </xf>
    <xf numFmtId="0" fontId="11" fillId="3" borderId="9" xfId="1" applyFont="1" applyFill="1" applyBorder="1" applyAlignment="1">
      <alignment horizontal="left" vertical="top" wrapText="1"/>
    </xf>
    <xf numFmtId="0" fontId="14" fillId="9" borderId="5" xfId="1" applyFont="1" applyFill="1" applyBorder="1" applyAlignment="1">
      <alignment horizontal="center" vertical="center" wrapText="1"/>
    </xf>
    <xf numFmtId="0" fontId="14" fillId="9" borderId="19" xfId="1" applyFont="1" applyFill="1" applyBorder="1" applyAlignment="1">
      <alignment horizontal="center" vertical="center" wrapText="1"/>
    </xf>
    <xf numFmtId="0" fontId="14" fillId="9" borderId="10" xfId="1" applyFont="1" applyFill="1" applyBorder="1" applyAlignment="1">
      <alignment horizontal="center" vertical="center" wrapText="1"/>
    </xf>
    <xf numFmtId="0" fontId="14" fillId="9" borderId="38" xfId="1" applyFont="1" applyFill="1" applyBorder="1" applyAlignment="1">
      <alignment horizontal="center" vertical="center" wrapText="1"/>
    </xf>
    <xf numFmtId="0" fontId="14" fillId="9" borderId="37" xfId="1" applyFont="1" applyFill="1" applyBorder="1" applyAlignment="1">
      <alignment horizontal="center" vertical="center" wrapText="1"/>
    </xf>
    <xf numFmtId="0" fontId="14" fillId="9" borderId="35" xfId="1" applyFont="1" applyFill="1" applyBorder="1" applyAlignment="1">
      <alignment horizontal="center" vertical="center" wrapText="1"/>
    </xf>
    <xf numFmtId="0" fontId="14" fillId="9" borderId="34" xfId="1" applyFont="1" applyFill="1" applyBorder="1" applyAlignment="1">
      <alignment horizontal="center" vertical="center" wrapText="1"/>
    </xf>
    <xf numFmtId="0" fontId="3" fillId="0" borderId="43" xfId="2" applyBorder="1" applyAlignment="1">
      <alignment horizontal="left"/>
    </xf>
    <xf numFmtId="0" fontId="3" fillId="0" borderId="42" xfId="2" applyBorder="1" applyAlignment="1">
      <alignment horizontal="left"/>
    </xf>
    <xf numFmtId="0" fontId="1" fillId="0" borderId="31" xfId="2" applyFont="1" applyBorder="1" applyAlignment="1">
      <alignment horizontal="left" vertical="top" wrapText="1"/>
    </xf>
    <xf numFmtId="0" fontId="1" fillId="0" borderId="32" xfId="2" applyFont="1" applyBorder="1" applyAlignment="1">
      <alignment horizontal="left" vertical="top" wrapText="1"/>
    </xf>
    <xf numFmtId="0" fontId="19" fillId="3" borderId="0" xfId="3" applyFont="1" applyFill="1" applyAlignment="1">
      <alignment horizontal="left" vertical="top" wrapText="1"/>
    </xf>
    <xf numFmtId="49" fontId="46" fillId="14" borderId="12" xfId="6" applyNumberFormat="1" applyFont="1" applyFill="1" applyBorder="1" applyAlignment="1">
      <alignment horizontal="center" vertical="center" wrapText="1"/>
    </xf>
    <xf numFmtId="49" fontId="46" fillId="14" borderId="19" xfId="6" applyNumberFormat="1" applyFont="1" applyFill="1" applyBorder="1" applyAlignment="1">
      <alignment horizontal="center" vertical="center" wrapText="1"/>
    </xf>
    <xf numFmtId="0" fontId="46" fillId="15" borderId="12" xfId="0" applyFont="1" applyFill="1" applyBorder="1" applyAlignment="1">
      <alignment horizontal="center" vertical="center"/>
    </xf>
    <xf numFmtId="0" fontId="46" fillId="15" borderId="13" xfId="0" applyFont="1" applyFill="1" applyBorder="1" applyAlignment="1">
      <alignment horizontal="center" vertical="center"/>
    </xf>
    <xf numFmtId="0" fontId="19" fillId="3" borderId="1" xfId="7" applyFont="1" applyFill="1" applyBorder="1" applyAlignment="1">
      <alignment horizontal="center"/>
    </xf>
    <xf numFmtId="0" fontId="19" fillId="3" borderId="2" xfId="7" applyFont="1" applyFill="1" applyBorder="1" applyAlignment="1">
      <alignment horizontal="center"/>
    </xf>
    <xf numFmtId="0" fontId="19" fillId="3" borderId="23" xfId="7" applyFont="1" applyFill="1" applyBorder="1" applyAlignment="1">
      <alignment horizontal="center"/>
    </xf>
    <xf numFmtId="0" fontId="19" fillId="3" borderId="24" xfId="7" applyFont="1" applyFill="1" applyBorder="1" applyAlignment="1">
      <alignment horizontal="center"/>
    </xf>
    <xf numFmtId="0" fontId="44" fillId="3" borderId="23" xfId="7" applyFont="1" applyFill="1" applyBorder="1" applyAlignment="1">
      <alignment horizontal="left" vertical="center"/>
    </xf>
    <xf numFmtId="0" fontId="44" fillId="3" borderId="0" xfId="7" applyFont="1" applyFill="1" applyAlignment="1">
      <alignment horizontal="left" vertical="center"/>
    </xf>
    <xf numFmtId="0" fontId="44" fillId="3" borderId="24" xfId="7" applyFont="1" applyFill="1" applyBorder="1" applyAlignment="1">
      <alignment horizontal="left" vertical="center"/>
    </xf>
    <xf numFmtId="0" fontId="45" fillId="3" borderId="47" xfId="7" applyFont="1" applyFill="1" applyBorder="1" applyAlignment="1">
      <alignment horizontal="center" vertical="center"/>
    </xf>
    <xf numFmtId="0" fontId="45" fillId="3" borderId="67" xfId="7" applyFont="1" applyFill="1" applyBorder="1" applyAlignment="1">
      <alignment horizontal="center" vertical="center"/>
    </xf>
    <xf numFmtId="49" fontId="46" fillId="14" borderId="11" xfId="6" applyNumberFormat="1" applyFont="1" applyFill="1" applyBorder="1" applyAlignment="1">
      <alignment horizontal="center" vertical="center" wrapText="1"/>
    </xf>
    <xf numFmtId="49" fontId="46" fillId="14" borderId="14" xfId="6" applyNumberFormat="1" applyFont="1" applyFill="1" applyBorder="1" applyAlignment="1">
      <alignment horizontal="center" vertical="center" wrapText="1"/>
    </xf>
    <xf numFmtId="49" fontId="46" fillId="14" borderId="15" xfId="6" applyNumberFormat="1" applyFont="1" applyFill="1" applyBorder="1" applyAlignment="1">
      <alignment horizontal="center" vertical="center" wrapText="1"/>
    </xf>
    <xf numFmtId="0" fontId="47" fillId="15" borderId="12" xfId="0" applyFont="1" applyFill="1" applyBorder="1" applyAlignment="1">
      <alignment horizontal="center" vertical="center"/>
    </xf>
  </cellXfs>
  <cellStyles count="8">
    <cellStyle name="Good" xfId="6" builtinId="26"/>
    <cellStyle name="Normal" xfId="0" builtinId="0"/>
    <cellStyle name="Normal 2" xfId="3" xr:uid="{1468DFB7-A64F-4035-94D4-B26D6719AA58}"/>
    <cellStyle name="Normal 2 2" xfId="7" xr:uid="{26284380-402F-4EFF-96C2-EA5F8E489354}"/>
    <cellStyle name="Normal 5" xfId="1" xr:uid="{FCA6291F-B1B5-4393-9EF3-EC64E6B24D7E}"/>
    <cellStyle name="Normal 6" xfId="4" xr:uid="{A874667F-4440-4C4D-8D9F-05A9C42EA0A8}"/>
    <cellStyle name="Normal 6 2" xfId="5" xr:uid="{049A8025-3F63-49AB-8569-4C36518D5D3A}"/>
    <cellStyle name="Normal 7" xfId="2" xr:uid="{5BD2A739-AC44-4DBF-ADD1-83404A51650C}"/>
  </cellStyles>
  <dxfs count="137">
    <dxf>
      <font>
        <color theme="1"/>
      </font>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ont>
        <color theme="1"/>
      </font>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rgb="FF0070C0"/>
        </patternFill>
      </fill>
    </dxf>
    <dxf>
      <fill>
        <patternFill>
          <bgColor rgb="FF00B050"/>
        </patternFill>
      </fill>
    </dxf>
    <dxf>
      <fill>
        <patternFill>
          <bgColor rgb="FFFF0000"/>
        </patternFill>
      </fill>
    </dxf>
    <dxf>
      <fill>
        <patternFill>
          <bgColor rgb="FF0070C0"/>
        </patternFill>
      </fill>
    </dxf>
    <dxf>
      <fill>
        <patternFill>
          <bgColor rgb="FF00B050"/>
        </patternFill>
      </fill>
    </dxf>
    <dxf>
      <fill>
        <patternFill>
          <bgColor rgb="FFFF0000"/>
        </patternFill>
      </fill>
    </dxf>
    <dxf>
      <fill>
        <patternFill>
          <bgColor rgb="FF0070C0"/>
        </patternFill>
      </fill>
    </dxf>
    <dxf>
      <fill>
        <patternFill>
          <bgColor rgb="FF00B050"/>
        </patternFill>
      </fill>
    </dxf>
    <dxf>
      <fill>
        <patternFill>
          <bgColor rgb="FFFF0000"/>
        </patternFill>
      </fill>
    </dxf>
    <dxf>
      <fill>
        <patternFill>
          <bgColor rgb="FF00B050"/>
        </patternFill>
      </fill>
    </dxf>
    <dxf>
      <fill>
        <patternFill>
          <bgColor rgb="FF0070C0"/>
        </patternFill>
      </fill>
    </dxf>
    <dxf>
      <fill>
        <patternFill>
          <bgColor rgb="FFFF000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17/10/relationships/person" Target="persons/person.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calcChain" Target="calcChain.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69850</xdr:colOff>
          <xdr:row>7</xdr:row>
          <xdr:rowOff>31750</xdr:rowOff>
        </xdr:from>
        <xdr:to>
          <xdr:col>2</xdr:col>
          <xdr:colOff>222250</xdr:colOff>
          <xdr:row>7</xdr:row>
          <xdr:rowOff>190500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FieldCore Employees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7</xdr:row>
          <xdr:rowOff>31750</xdr:rowOff>
        </xdr:from>
        <xdr:to>
          <xdr:col>4</xdr:col>
          <xdr:colOff>38100</xdr:colOff>
          <xdr:row>7</xdr:row>
          <xdr:rowOff>190500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GE Employees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12700</xdr:colOff>
          <xdr:row>7</xdr:row>
          <xdr:rowOff>31750</xdr:rowOff>
        </xdr:from>
        <xdr:to>
          <xdr:col>9</xdr:col>
          <xdr:colOff>222250</xdr:colOff>
          <xdr:row>7</xdr:row>
          <xdr:rowOff>190500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Customer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7</xdr:row>
          <xdr:rowOff>31750</xdr:rowOff>
        </xdr:from>
        <xdr:to>
          <xdr:col>11</xdr:col>
          <xdr:colOff>781050</xdr:colOff>
          <xdr:row>7</xdr:row>
          <xdr:rowOff>190500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Contractors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647700</xdr:colOff>
          <xdr:row>7</xdr:row>
          <xdr:rowOff>31750</xdr:rowOff>
        </xdr:from>
        <xdr:to>
          <xdr:col>12</xdr:col>
          <xdr:colOff>127000</xdr:colOff>
          <xdr:row>7</xdr:row>
          <xdr:rowOff>190500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Affiliates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165100</xdr:colOff>
          <xdr:row>7</xdr:row>
          <xdr:rowOff>31750</xdr:rowOff>
        </xdr:from>
        <xdr:to>
          <xdr:col>16</xdr:col>
          <xdr:colOff>165100</xdr:colOff>
          <xdr:row>7</xdr:row>
          <xdr:rowOff>190500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Public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266700</xdr:colOff>
          <xdr:row>6</xdr:row>
          <xdr:rowOff>165100</xdr:rowOff>
        </xdr:from>
        <xdr:to>
          <xdr:col>19</xdr:col>
          <xdr:colOff>127000</xdr:colOff>
          <xdr:row>7</xdr:row>
          <xdr:rowOff>203200</xdr:rowOff>
        </xdr:to>
        <xdr:sp macro="" textlink="">
          <xdr:nvSpPr>
            <xdr:cNvPr id="1039" name="Check Box 15" descr="FieldCore Employees"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Others (Specify)</a:t>
              </a:r>
            </a:p>
          </xdr:txBody>
        </xdr:sp>
        <xdr:clientData fLocksWithSheet="0"/>
      </xdr:twoCellAnchor>
    </mc:Choice>
    <mc:Fallback/>
  </mc:AlternateContent>
  <xdr:twoCellAnchor editAs="oneCell">
    <xdr:from>
      <xdr:col>0</xdr:col>
      <xdr:colOff>166687</xdr:colOff>
      <xdr:row>0</xdr:row>
      <xdr:rowOff>7937</xdr:rowOff>
    </xdr:from>
    <xdr:to>
      <xdr:col>2</xdr:col>
      <xdr:colOff>313333</xdr:colOff>
      <xdr:row>3</xdr:row>
      <xdr:rowOff>133087</xdr:rowOff>
    </xdr:to>
    <xdr:pic>
      <xdr:nvPicPr>
        <xdr:cNvPr id="3" name="Picture 2" descr="GE Vernova - Energy Storage Summit 2024">
          <a:extLst>
            <a:ext uri="{FF2B5EF4-FFF2-40B4-BE49-F238E27FC236}">
              <a16:creationId xmlns:a16="http://schemas.microsoft.com/office/drawing/2014/main" id="{A0B8F9EC-27E3-4EA9-8245-0F85B6B8B35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6687" y="7937"/>
          <a:ext cx="1137246" cy="572825"/>
        </a:xfrm>
        <a:prstGeom prst="rect">
          <a:avLst/>
        </a:prstGeom>
        <a:noFill/>
        <a:ln>
          <a:noFill/>
        </a:ln>
      </xdr:spPr>
    </xdr:pic>
    <xdr:clientData/>
  </xdr:twoCellAnchor>
</xdr:wsDr>
</file>

<file path=xl/drawings/drawing2.xml><?xml version="1.0" encoding="utf-8"?>
<xdr:wsDr xmlns:xdr="http://schemas.openxmlformats.org/drawingml/2006/spreadsheetDrawing" xmlns:a="http://schemas.openxmlformats.org/drawingml/2006/main">
  <xdr:oneCellAnchor>
    <xdr:from>
      <xdr:col>0</xdr:col>
      <xdr:colOff>653664</xdr:colOff>
      <xdr:row>0</xdr:row>
      <xdr:rowOff>30692</xdr:rowOff>
    </xdr:from>
    <xdr:ext cx="1495811" cy="438150"/>
    <xdr:pic>
      <xdr:nvPicPr>
        <xdr:cNvPr id="2" name="Picture 1">
          <a:extLst>
            <a:ext uri="{FF2B5EF4-FFF2-40B4-BE49-F238E27FC236}">
              <a16:creationId xmlns:a16="http://schemas.microsoft.com/office/drawing/2014/main" id="{00000000-0008-0000-06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53664" y="30692"/>
          <a:ext cx="1495811" cy="438150"/>
        </a:xfrm>
        <a:prstGeom prst="rect">
          <a:avLst/>
        </a:prstGeom>
        <a:noFill/>
        <a:ln>
          <a:noFill/>
        </a:ln>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605014893\AppData\Local\Microsoft\Windows\INetCache\Content.Outlook\PPLORWVY\0.%20HHI%20-Mini.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spo-teamsite.ge.com/GEEHS/105043958/2-%20Thermal/Bouchain/EHS-Contractor%20Evaluation%20&amp;%20Site%20Audits-Rev0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lobal HHI"/>
      <sheetName val="RIsk Matrix"/>
      <sheetName val="ChemHazSeverity"/>
      <sheetName val="GHS Hazard Statements"/>
      <sheetName val="Project HHI(Example)"/>
      <sheetName val="Data - Project"/>
      <sheetName val="Data - HRA"/>
    </sheetNames>
    <sheetDataSet>
      <sheetData sheetId="0"/>
      <sheetData sheetId="1" refreshError="1"/>
      <sheetData sheetId="2" refreshError="1"/>
      <sheetData sheetId="3" refreshError="1"/>
      <sheetData sheetId="4"/>
      <sheetData sheetId="5"/>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erformancesDataSheet"/>
      <sheetName val="Weekly Site Inspection"/>
      <sheetName val="Performance Evaluation"/>
      <sheetName val="Corporate Audit"/>
    </sheetNames>
    <sheetDataSet>
      <sheetData sheetId="0"/>
      <sheetData sheetId="1"/>
      <sheetData sheetId="2"/>
      <sheetData sheetId="3"/>
    </sheetDataSet>
  </externalBook>
</externalLink>
</file>

<file path=xl/persons/person.xml><?xml version="1.0" encoding="utf-8"?>
<personList xmlns="http://schemas.microsoft.com/office/spreadsheetml/2018/threadedcomments" xmlns:x="http://schemas.openxmlformats.org/spreadsheetml/2006/main">
  <person displayName="Conway, Ross (FieldCore)" id="{151A8DAF-89F3-4A52-9E8B-AF34FAC486F3}" userId="Conway, Ross (FieldCore)" providerId="Non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5" dT="2021-02-02T11:46:27.57" personId="{151A8DAF-89F3-4A52-9E8B-AF34FAC486F3}" id="{F8B3473E-1D08-4DC0-B648-05AEC490E959}">
    <text>Need to add Acute and Chronic eg Asbestos Acute 1 +2  = 2 Chronic  4 + 4 =7</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6.bin"/><Relationship Id="rId4" Type="http://schemas.microsoft.com/office/2017/10/relationships/threadedComment" Target="../threadedComments/threadedComment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90E613-2BA9-4A9E-AA8C-704C831FEB74}">
  <sheetPr codeName="Sheet11"/>
  <dimension ref="A1:Z54"/>
  <sheetViews>
    <sheetView showGridLines="0" tabSelected="1" topLeftCell="A20" zoomScale="89" zoomScaleNormal="89" workbookViewId="0">
      <selection activeCell="P21" sqref="P21:Y21"/>
    </sheetView>
  </sheetViews>
  <sheetFormatPr defaultColWidth="0" defaultRowHeight="14.45" zeroHeight="1"/>
  <cols>
    <col min="1" max="1" width="2.7109375" bestFit="1" customWidth="1"/>
    <col min="2" max="2" width="12.140625" customWidth="1"/>
    <col min="3" max="3" width="7.28515625" customWidth="1"/>
    <col min="4" max="4" width="14.28515625" customWidth="1"/>
    <col min="5" max="5" width="2.85546875" customWidth="1"/>
    <col min="6" max="6" width="4.5703125" customWidth="1"/>
    <col min="7" max="7" width="4.42578125" customWidth="1"/>
    <col min="8" max="8" width="5.140625" customWidth="1"/>
    <col min="9" max="9" width="4.28515625" customWidth="1"/>
    <col min="10" max="10" width="4" customWidth="1"/>
    <col min="11" max="11" width="4" bestFit="1" customWidth="1"/>
    <col min="12" max="12" width="24.5703125" customWidth="1"/>
    <col min="13" max="14" width="3" customWidth="1"/>
    <col min="15" max="15" width="4" bestFit="1" customWidth="1"/>
    <col min="16" max="16" width="6.85546875" customWidth="1"/>
    <col min="17" max="17" width="4.5703125" customWidth="1"/>
    <col min="18" max="18" width="4.140625" customWidth="1"/>
    <col min="19" max="24" width="2.85546875" customWidth="1"/>
    <col min="25" max="25" width="28.7109375" customWidth="1"/>
    <col min="26" max="26" width="1.5703125" customWidth="1"/>
    <col min="27" max="16384" width="9.140625" hidden="1"/>
  </cols>
  <sheetData>
    <row r="1" spans="1:25" ht="9" customHeight="1">
      <c r="A1" s="252"/>
      <c r="B1" s="253"/>
      <c r="C1" s="254"/>
      <c r="D1" s="250" t="s">
        <v>0</v>
      </c>
      <c r="E1" s="251"/>
      <c r="F1" s="251"/>
      <c r="G1" s="251"/>
      <c r="H1" s="251"/>
      <c r="I1" s="251"/>
      <c r="J1" s="251"/>
      <c r="K1" s="251"/>
      <c r="L1" s="251"/>
      <c r="M1" s="251"/>
      <c r="N1" s="251"/>
      <c r="O1" s="240"/>
      <c r="P1" s="230" t="s">
        <v>1</v>
      </c>
      <c r="Q1" s="231"/>
      <c r="R1" s="231"/>
      <c r="S1" s="231"/>
      <c r="T1" s="231"/>
      <c r="U1" s="231"/>
      <c r="V1" s="231"/>
      <c r="W1" s="231"/>
      <c r="X1" s="231"/>
      <c r="Y1" s="232"/>
    </row>
    <row r="2" spans="1:25" ht="17.25" customHeight="1" thickBot="1">
      <c r="A2" s="255"/>
      <c r="B2" s="256"/>
      <c r="C2" s="257"/>
      <c r="D2" s="191" t="s">
        <v>2</v>
      </c>
      <c r="E2" s="192"/>
      <c r="F2" s="192"/>
      <c r="G2" s="192"/>
      <c r="H2" s="192"/>
      <c r="I2" s="192"/>
      <c r="J2" s="192"/>
      <c r="K2" s="192"/>
      <c r="L2" s="192"/>
      <c r="M2" s="192"/>
      <c r="N2" s="192"/>
      <c r="O2" s="193"/>
      <c r="P2" s="233" t="s">
        <v>3</v>
      </c>
      <c r="Q2" s="234"/>
      <c r="R2" s="234"/>
      <c r="S2" s="234"/>
      <c r="T2" s="234"/>
      <c r="U2" s="234"/>
      <c r="V2" s="234"/>
      <c r="W2" s="234"/>
      <c r="X2" s="234"/>
      <c r="Y2" s="235"/>
    </row>
    <row r="3" spans="1:25" ht="9" customHeight="1">
      <c r="A3" s="255"/>
      <c r="B3" s="256"/>
      <c r="C3" s="257"/>
      <c r="D3" s="191"/>
      <c r="E3" s="192"/>
      <c r="F3" s="192"/>
      <c r="G3" s="192"/>
      <c r="H3" s="192"/>
      <c r="I3" s="192"/>
      <c r="J3" s="192"/>
      <c r="K3" s="192"/>
      <c r="L3" s="192"/>
      <c r="M3" s="192"/>
      <c r="N3" s="192"/>
      <c r="O3" s="193"/>
      <c r="P3" s="153" t="s">
        <v>4</v>
      </c>
      <c r="Q3" s="239" t="s">
        <v>5</v>
      </c>
      <c r="R3" s="263"/>
      <c r="S3" s="239" t="s">
        <v>6</v>
      </c>
      <c r="T3" s="251"/>
      <c r="U3" s="251"/>
      <c r="V3" s="251"/>
      <c r="W3" s="263"/>
      <c r="X3" s="239" t="s">
        <v>7</v>
      </c>
      <c r="Y3" s="240"/>
    </row>
    <row r="4" spans="1:25" ht="12.95" customHeight="1" thickBot="1">
      <c r="A4" s="255"/>
      <c r="B4" s="256"/>
      <c r="C4" s="257"/>
      <c r="D4" s="194"/>
      <c r="E4" s="195"/>
      <c r="F4" s="195"/>
      <c r="G4" s="195"/>
      <c r="H4" s="195"/>
      <c r="I4" s="195"/>
      <c r="J4" s="195"/>
      <c r="K4" s="195"/>
      <c r="L4" s="195"/>
      <c r="M4" s="195"/>
      <c r="N4" s="195"/>
      <c r="O4" s="196"/>
      <c r="P4" s="154" t="s">
        <v>8</v>
      </c>
      <c r="Q4" s="177">
        <v>7</v>
      </c>
      <c r="R4" s="178"/>
      <c r="S4" s="179">
        <v>44460</v>
      </c>
      <c r="T4" s="180"/>
      <c r="U4" s="180"/>
      <c r="V4" s="180"/>
      <c r="W4" s="181"/>
      <c r="X4" s="177" t="s">
        <v>9</v>
      </c>
      <c r="Y4" s="241"/>
    </row>
    <row r="5" spans="1:25" ht="13.5" customHeight="1">
      <c r="A5" s="258" t="s">
        <v>10</v>
      </c>
      <c r="B5" s="259"/>
      <c r="C5" s="259"/>
      <c r="D5" s="259"/>
      <c r="E5" s="259"/>
      <c r="F5" s="260"/>
      <c r="G5" s="242" t="s">
        <v>11</v>
      </c>
      <c r="H5" s="243"/>
      <c r="I5" s="243"/>
      <c r="J5" s="243"/>
      <c r="K5" s="243"/>
      <c r="L5" s="243"/>
      <c r="M5" s="210" t="s">
        <v>12</v>
      </c>
      <c r="N5" s="211"/>
      <c r="O5" s="212"/>
      <c r="P5" s="188" t="s">
        <v>13</v>
      </c>
      <c r="Q5" s="189"/>
      <c r="R5" s="189"/>
      <c r="S5" s="189"/>
      <c r="T5" s="190"/>
      <c r="U5" s="206" t="s">
        <v>14</v>
      </c>
      <c r="V5" s="248"/>
      <c r="W5" s="249"/>
      <c r="X5" s="206" t="s">
        <v>15</v>
      </c>
      <c r="Y5" s="207"/>
    </row>
    <row r="6" spans="1:25" ht="13.5" customHeight="1" thickBot="1">
      <c r="A6" s="208" t="s">
        <v>16</v>
      </c>
      <c r="B6" s="209"/>
      <c r="C6" s="209"/>
      <c r="D6" s="209"/>
      <c r="E6" s="209"/>
      <c r="F6" s="209"/>
      <c r="G6" s="244" t="s">
        <v>17</v>
      </c>
      <c r="H6" s="245"/>
      <c r="I6" s="245"/>
      <c r="J6" s="245"/>
      <c r="K6" s="245"/>
      <c r="L6" s="246"/>
      <c r="M6" s="200">
        <v>1.1000000000000001</v>
      </c>
      <c r="N6" s="201"/>
      <c r="O6" s="247"/>
      <c r="P6" s="261" t="str">
        <f>"HSRA_"&amp;G6</f>
        <v>HSRA_IH-010</v>
      </c>
      <c r="Q6" s="262"/>
      <c r="R6" s="262"/>
      <c r="S6" s="262"/>
      <c r="T6" s="262"/>
      <c r="U6" s="200">
        <v>1.1000000000000001</v>
      </c>
      <c r="V6" s="201"/>
      <c r="W6" s="202"/>
      <c r="X6" s="264">
        <v>45733</v>
      </c>
      <c r="Y6" s="265"/>
    </row>
    <row r="7" spans="1:25" ht="13.5" customHeight="1" thickBot="1">
      <c r="A7" s="236" t="s">
        <v>18</v>
      </c>
      <c r="B7" s="237"/>
      <c r="C7" s="237"/>
      <c r="D7" s="237"/>
      <c r="E7" s="237"/>
      <c r="F7" s="237"/>
      <c r="G7" s="237"/>
      <c r="H7" s="237"/>
      <c r="I7" s="237"/>
      <c r="J7" s="237"/>
      <c r="K7" s="237"/>
      <c r="L7" s="237"/>
      <c r="M7" s="237"/>
      <c r="N7" s="237"/>
      <c r="O7" s="237"/>
      <c r="P7" s="237"/>
      <c r="Q7" s="237"/>
      <c r="R7" s="237"/>
      <c r="S7" s="237"/>
      <c r="T7" s="237"/>
      <c r="U7" s="237"/>
      <c r="V7" s="237"/>
      <c r="W7" s="237"/>
      <c r="X7" s="237"/>
      <c r="Y7" s="238"/>
    </row>
    <row r="8" spans="1:25" ht="17.25" customHeight="1" thickBot="1">
      <c r="A8" s="198"/>
      <c r="B8" s="199"/>
      <c r="C8" s="199"/>
      <c r="D8" s="75"/>
      <c r="E8" s="75"/>
      <c r="F8" s="75"/>
      <c r="G8" s="75"/>
      <c r="H8" s="75"/>
      <c r="I8" s="75"/>
      <c r="J8" s="75"/>
      <c r="K8" s="75"/>
      <c r="L8" s="75"/>
      <c r="M8" s="75"/>
      <c r="N8" s="75"/>
      <c r="O8" s="75"/>
      <c r="P8" s="75"/>
      <c r="Q8" s="75"/>
      <c r="R8" s="204" t="s">
        <v>19</v>
      </c>
      <c r="S8" s="204"/>
      <c r="T8" s="204"/>
      <c r="U8" s="204"/>
      <c r="V8" s="204"/>
      <c r="W8" s="204"/>
      <c r="X8" s="204"/>
      <c r="Y8" s="205"/>
    </row>
    <row r="9" spans="1:25" ht="11.1" customHeight="1" thickBot="1">
      <c r="A9" s="213" t="s">
        <v>20</v>
      </c>
      <c r="B9" s="182"/>
      <c r="C9" s="182" t="s">
        <v>21</v>
      </c>
      <c r="D9" s="183"/>
      <c r="E9" s="55"/>
      <c r="F9" s="197" t="s">
        <v>22</v>
      </c>
      <c r="G9" s="197"/>
      <c r="H9" s="197"/>
      <c r="I9" s="197"/>
      <c r="J9" s="197"/>
      <c r="K9" s="197"/>
      <c r="L9" s="78" t="s">
        <v>23</v>
      </c>
      <c r="M9" s="186" t="s">
        <v>24</v>
      </c>
      <c r="N9" s="186"/>
      <c r="O9" s="186"/>
      <c r="P9" s="186"/>
      <c r="Q9" s="186"/>
      <c r="R9" s="186"/>
      <c r="S9" s="186"/>
      <c r="T9" s="186"/>
      <c r="U9" s="186"/>
      <c r="V9" s="186"/>
      <c r="W9" s="186"/>
      <c r="X9" s="186"/>
      <c r="Y9" s="187"/>
    </row>
    <row r="10" spans="1:25" ht="9.9499999999999993" customHeight="1" thickBot="1">
      <c r="A10" s="214"/>
      <c r="B10" s="184"/>
      <c r="C10" s="184"/>
      <c r="D10" s="185"/>
      <c r="E10" s="221" t="s">
        <v>25</v>
      </c>
      <c r="F10" s="73"/>
      <c r="G10" s="73" t="s">
        <v>26</v>
      </c>
      <c r="H10" s="73" t="s">
        <v>27</v>
      </c>
      <c r="I10" s="73" t="s">
        <v>28</v>
      </c>
      <c r="J10" s="73" t="s">
        <v>29</v>
      </c>
      <c r="K10" s="73" t="s">
        <v>30</v>
      </c>
      <c r="L10" s="174" t="s">
        <v>31</v>
      </c>
      <c r="M10" s="166" t="s">
        <v>32</v>
      </c>
      <c r="N10" s="166"/>
      <c r="O10" s="166"/>
      <c r="P10" s="166"/>
      <c r="Q10" s="166"/>
      <c r="R10" s="166"/>
      <c r="S10" s="166"/>
      <c r="T10" s="166"/>
      <c r="U10" s="166"/>
      <c r="V10" s="166"/>
      <c r="W10" s="166"/>
      <c r="X10" s="166"/>
      <c r="Y10" s="167"/>
    </row>
    <row r="11" spans="1:25" ht="11.25" customHeight="1">
      <c r="A11" s="79" t="s">
        <v>30</v>
      </c>
      <c r="B11" s="80" t="s">
        <v>33</v>
      </c>
      <c r="C11" s="81" t="s">
        <v>34</v>
      </c>
      <c r="D11" s="80" t="s">
        <v>35</v>
      </c>
      <c r="E11" s="221"/>
      <c r="F11" s="73" t="s">
        <v>34</v>
      </c>
      <c r="G11" s="56">
        <v>5</v>
      </c>
      <c r="H11" s="57">
        <v>6</v>
      </c>
      <c r="I11" s="57">
        <v>7</v>
      </c>
      <c r="J11" s="57">
        <v>8</v>
      </c>
      <c r="K11" s="58">
        <v>9</v>
      </c>
      <c r="L11" s="174"/>
      <c r="M11" s="166"/>
      <c r="N11" s="166"/>
      <c r="O11" s="166"/>
      <c r="P11" s="166"/>
      <c r="Q11" s="166"/>
      <c r="R11" s="166"/>
      <c r="S11" s="166"/>
      <c r="T11" s="166"/>
      <c r="U11" s="166"/>
      <c r="V11" s="166"/>
      <c r="W11" s="166"/>
      <c r="X11" s="166"/>
      <c r="Y11" s="167"/>
    </row>
    <row r="12" spans="1:25" ht="11.25" customHeight="1">
      <c r="A12" s="69" t="s">
        <v>29</v>
      </c>
      <c r="B12" s="53" t="s">
        <v>36</v>
      </c>
      <c r="C12" s="82" t="s">
        <v>37</v>
      </c>
      <c r="D12" s="53" t="s">
        <v>38</v>
      </c>
      <c r="E12" s="221"/>
      <c r="F12" s="73" t="s">
        <v>37</v>
      </c>
      <c r="G12" s="59">
        <v>4</v>
      </c>
      <c r="H12" s="60">
        <v>5</v>
      </c>
      <c r="I12" s="61">
        <v>6</v>
      </c>
      <c r="J12" s="61">
        <v>7</v>
      </c>
      <c r="K12" s="62">
        <v>8</v>
      </c>
      <c r="L12" s="174" t="s">
        <v>39</v>
      </c>
      <c r="M12" s="175" t="s">
        <v>40</v>
      </c>
      <c r="N12" s="175"/>
      <c r="O12" s="175"/>
      <c r="P12" s="175"/>
      <c r="Q12" s="175"/>
      <c r="R12" s="175"/>
      <c r="S12" s="175"/>
      <c r="T12" s="175"/>
      <c r="U12" s="175"/>
      <c r="V12" s="175"/>
      <c r="W12" s="175"/>
      <c r="X12" s="175"/>
      <c r="Y12" s="176"/>
    </row>
    <row r="13" spans="1:25" ht="10.5" customHeight="1">
      <c r="A13" s="69" t="s">
        <v>28</v>
      </c>
      <c r="B13" s="53" t="s">
        <v>41</v>
      </c>
      <c r="C13" s="82" t="s">
        <v>42</v>
      </c>
      <c r="D13" s="53" t="s">
        <v>43</v>
      </c>
      <c r="E13" s="221"/>
      <c r="F13" s="73" t="s">
        <v>42</v>
      </c>
      <c r="G13" s="63">
        <v>3</v>
      </c>
      <c r="H13" s="60">
        <v>4</v>
      </c>
      <c r="I13" s="60">
        <v>5</v>
      </c>
      <c r="J13" s="61">
        <v>6</v>
      </c>
      <c r="K13" s="62">
        <v>7</v>
      </c>
      <c r="L13" s="174"/>
      <c r="M13" s="175"/>
      <c r="N13" s="175"/>
      <c r="O13" s="175"/>
      <c r="P13" s="175"/>
      <c r="Q13" s="175"/>
      <c r="R13" s="175"/>
      <c r="S13" s="175"/>
      <c r="T13" s="175"/>
      <c r="U13" s="175"/>
      <c r="V13" s="175"/>
      <c r="W13" s="175"/>
      <c r="X13" s="175"/>
      <c r="Y13" s="176"/>
    </row>
    <row r="14" spans="1:25" ht="10.5" customHeight="1">
      <c r="A14" s="69" t="s">
        <v>27</v>
      </c>
      <c r="B14" s="53" t="s">
        <v>44</v>
      </c>
      <c r="C14" s="82" t="s">
        <v>45</v>
      </c>
      <c r="D14" s="53" t="s">
        <v>46</v>
      </c>
      <c r="E14" s="221"/>
      <c r="F14" s="73" t="s">
        <v>45</v>
      </c>
      <c r="G14" s="63">
        <v>2</v>
      </c>
      <c r="H14" s="64">
        <v>3</v>
      </c>
      <c r="I14" s="60">
        <v>4</v>
      </c>
      <c r="J14" s="60">
        <v>5</v>
      </c>
      <c r="K14" s="62">
        <v>6</v>
      </c>
      <c r="L14" s="174" t="s">
        <v>47</v>
      </c>
      <c r="M14" s="226" t="s">
        <v>48</v>
      </c>
      <c r="N14" s="226"/>
      <c r="O14" s="226"/>
      <c r="P14" s="226"/>
      <c r="Q14" s="226"/>
      <c r="R14" s="226"/>
      <c r="S14" s="226"/>
      <c r="T14" s="226"/>
      <c r="U14" s="226"/>
      <c r="V14" s="226"/>
      <c r="W14" s="226"/>
      <c r="X14" s="226"/>
      <c r="Y14" s="227"/>
    </row>
    <row r="15" spans="1:25" ht="11.25" customHeight="1" thickBot="1">
      <c r="A15" s="70" t="s">
        <v>26</v>
      </c>
      <c r="B15" s="54" t="s">
        <v>49</v>
      </c>
      <c r="C15" s="83" t="s">
        <v>50</v>
      </c>
      <c r="D15" s="54" t="s">
        <v>51</v>
      </c>
      <c r="E15" s="222"/>
      <c r="F15" s="74" t="s">
        <v>50</v>
      </c>
      <c r="G15" s="65">
        <v>1</v>
      </c>
      <c r="H15" s="66">
        <v>2</v>
      </c>
      <c r="I15" s="66">
        <v>3</v>
      </c>
      <c r="J15" s="67">
        <v>4</v>
      </c>
      <c r="K15" s="68">
        <v>5</v>
      </c>
      <c r="L15" s="203"/>
      <c r="M15" s="228"/>
      <c r="N15" s="228"/>
      <c r="O15" s="228"/>
      <c r="P15" s="228"/>
      <c r="Q15" s="228"/>
      <c r="R15" s="228"/>
      <c r="S15" s="228"/>
      <c r="T15" s="228"/>
      <c r="U15" s="228"/>
      <c r="V15" s="228"/>
      <c r="W15" s="228"/>
      <c r="X15" s="228"/>
      <c r="Y15" s="229"/>
    </row>
    <row r="16" spans="1:25" ht="11.1" customHeight="1" thickBot="1">
      <c r="A16" s="223" t="s">
        <v>52</v>
      </c>
      <c r="B16" s="224"/>
      <c r="C16" s="224"/>
      <c r="D16" s="224"/>
      <c r="E16" s="224"/>
      <c r="F16" s="224"/>
      <c r="G16" s="224"/>
      <c r="H16" s="224"/>
      <c r="I16" s="224"/>
      <c r="J16" s="224"/>
      <c r="K16" s="224"/>
      <c r="L16" s="224"/>
      <c r="M16" s="224"/>
      <c r="N16" s="224"/>
      <c r="O16" s="224"/>
      <c r="P16" s="224"/>
      <c r="Q16" s="224"/>
      <c r="R16" s="224"/>
      <c r="S16" s="224"/>
      <c r="T16" s="224"/>
      <c r="U16" s="224"/>
      <c r="V16" s="224"/>
      <c r="W16" s="224"/>
      <c r="X16" s="224"/>
      <c r="Y16" s="225"/>
    </row>
    <row r="17" spans="1:26" ht="11.45" customHeight="1">
      <c r="A17" s="219" t="s">
        <v>53</v>
      </c>
      <c r="B17" s="169"/>
      <c r="C17" s="169"/>
      <c r="D17" s="169" t="s">
        <v>54</v>
      </c>
      <c r="E17" s="169"/>
      <c r="F17" s="173" t="s">
        <v>55</v>
      </c>
      <c r="G17" s="173"/>
      <c r="H17" s="173"/>
      <c r="I17" s="173" t="s">
        <v>56</v>
      </c>
      <c r="J17" s="173"/>
      <c r="K17" s="173"/>
      <c r="L17" s="169" t="s">
        <v>57</v>
      </c>
      <c r="M17" s="173" t="s">
        <v>58</v>
      </c>
      <c r="N17" s="173"/>
      <c r="O17" s="173"/>
      <c r="P17" s="169" t="s">
        <v>59</v>
      </c>
      <c r="Q17" s="169"/>
      <c r="R17" s="169"/>
      <c r="S17" s="169"/>
      <c r="T17" s="169"/>
      <c r="U17" s="169"/>
      <c r="V17" s="169"/>
      <c r="W17" s="169"/>
      <c r="X17" s="169"/>
      <c r="Y17" s="170"/>
    </row>
    <row r="18" spans="1:26" ht="12.6" customHeight="1">
      <c r="A18" s="220"/>
      <c r="B18" s="171"/>
      <c r="C18" s="171"/>
      <c r="D18" s="171"/>
      <c r="E18" s="171"/>
      <c r="F18" s="155" t="s">
        <v>60</v>
      </c>
      <c r="G18" s="155" t="s">
        <v>61</v>
      </c>
      <c r="H18" s="155" t="s">
        <v>62</v>
      </c>
      <c r="I18" s="155" t="s">
        <v>60</v>
      </c>
      <c r="J18" s="155" t="s">
        <v>61</v>
      </c>
      <c r="K18" s="155" t="s">
        <v>63</v>
      </c>
      <c r="L18" s="171"/>
      <c r="M18" s="155" t="s">
        <v>60</v>
      </c>
      <c r="N18" s="155" t="s">
        <v>61</v>
      </c>
      <c r="O18" s="155" t="s">
        <v>64</v>
      </c>
      <c r="P18" s="171"/>
      <c r="Q18" s="171"/>
      <c r="R18" s="171"/>
      <c r="S18" s="171"/>
      <c r="T18" s="171"/>
      <c r="U18" s="171"/>
      <c r="V18" s="171"/>
      <c r="W18" s="171"/>
      <c r="X18" s="171"/>
      <c r="Y18" s="172"/>
      <c r="Z18" s="72"/>
    </row>
    <row r="19" spans="1:26" ht="75.599999999999994" customHeight="1">
      <c r="A19" s="71">
        <v>1</v>
      </c>
      <c r="B19" s="165" t="s">
        <v>65</v>
      </c>
      <c r="C19" s="165"/>
      <c r="D19" s="168" t="s">
        <v>66</v>
      </c>
      <c r="E19" s="168"/>
      <c r="F19" s="156">
        <v>1</v>
      </c>
      <c r="G19" s="156">
        <v>3</v>
      </c>
      <c r="H19" s="157">
        <f t="shared" ref="H19:H25" si="0">F19+G19-1</f>
        <v>3</v>
      </c>
      <c r="I19" s="156">
        <v>3</v>
      </c>
      <c r="J19" s="156">
        <v>4</v>
      </c>
      <c r="K19" s="157">
        <f t="shared" ref="K19:K25" si="1">I19+J19-1</f>
        <v>6</v>
      </c>
      <c r="L19" s="158" t="s">
        <v>67</v>
      </c>
      <c r="M19" s="156">
        <v>2</v>
      </c>
      <c r="N19" s="156">
        <v>2</v>
      </c>
      <c r="O19" s="157">
        <f>M19+N19-1</f>
        <v>3</v>
      </c>
      <c r="P19" s="215" t="s">
        <v>68</v>
      </c>
      <c r="Q19" s="215"/>
      <c r="R19" s="215"/>
      <c r="S19" s="215"/>
      <c r="T19" s="215"/>
      <c r="U19" s="215"/>
      <c r="V19" s="215"/>
      <c r="W19" s="215"/>
      <c r="X19" s="215"/>
      <c r="Y19" s="216"/>
      <c r="Z19" s="72"/>
    </row>
    <row r="20" spans="1:26" ht="99.75" customHeight="1">
      <c r="A20" s="71">
        <v>2</v>
      </c>
      <c r="B20" s="165" t="s">
        <v>69</v>
      </c>
      <c r="C20" s="165"/>
      <c r="D20" s="168" t="s">
        <v>66</v>
      </c>
      <c r="E20" s="168"/>
      <c r="F20" s="156">
        <v>1</v>
      </c>
      <c r="G20" s="156">
        <v>3</v>
      </c>
      <c r="H20" s="157">
        <f t="shared" si="0"/>
        <v>3</v>
      </c>
      <c r="I20" s="156">
        <v>3</v>
      </c>
      <c r="J20" s="156">
        <v>4</v>
      </c>
      <c r="K20" s="157">
        <f t="shared" si="1"/>
        <v>6</v>
      </c>
      <c r="L20" s="158" t="s">
        <v>70</v>
      </c>
      <c r="M20" s="156">
        <v>2</v>
      </c>
      <c r="N20" s="156">
        <v>2</v>
      </c>
      <c r="O20" s="157">
        <f t="shared" ref="O20:O25" si="2">M20+N20-1</f>
        <v>3</v>
      </c>
      <c r="P20" s="168" t="s">
        <v>71</v>
      </c>
      <c r="Q20" s="217"/>
      <c r="R20" s="217"/>
      <c r="S20" s="217"/>
      <c r="T20" s="217"/>
      <c r="U20" s="217"/>
      <c r="V20" s="217"/>
      <c r="W20" s="217"/>
      <c r="X20" s="217"/>
      <c r="Y20" s="218"/>
      <c r="Z20" s="72"/>
    </row>
    <row r="21" spans="1:26" ht="152.44999999999999" customHeight="1">
      <c r="A21" s="71">
        <v>3</v>
      </c>
      <c r="B21" s="165" t="s">
        <v>72</v>
      </c>
      <c r="C21" s="165"/>
      <c r="D21" s="168" t="s">
        <v>66</v>
      </c>
      <c r="E21" s="168"/>
      <c r="F21" s="156">
        <v>1</v>
      </c>
      <c r="G21" s="156">
        <v>3</v>
      </c>
      <c r="H21" s="157">
        <f t="shared" si="0"/>
        <v>3</v>
      </c>
      <c r="I21" s="156">
        <v>3</v>
      </c>
      <c r="J21" s="156">
        <v>4</v>
      </c>
      <c r="K21" s="157">
        <f t="shared" si="1"/>
        <v>6</v>
      </c>
      <c r="L21" s="158" t="s">
        <v>73</v>
      </c>
      <c r="M21" s="156">
        <v>2</v>
      </c>
      <c r="N21" s="156">
        <v>2</v>
      </c>
      <c r="O21" s="157">
        <f t="shared" si="2"/>
        <v>3</v>
      </c>
      <c r="P21" s="215" t="s">
        <v>74</v>
      </c>
      <c r="Q21" s="215"/>
      <c r="R21" s="215"/>
      <c r="S21" s="215"/>
      <c r="T21" s="215"/>
      <c r="U21" s="215"/>
      <c r="V21" s="215"/>
      <c r="W21" s="215"/>
      <c r="X21" s="215"/>
      <c r="Y21" s="216"/>
      <c r="Z21" s="72"/>
    </row>
    <row r="22" spans="1:26" s="98" customFormat="1" ht="78.599999999999994" customHeight="1">
      <c r="A22" s="96">
        <v>4</v>
      </c>
      <c r="B22" s="165" t="s">
        <v>75</v>
      </c>
      <c r="C22" s="165"/>
      <c r="D22" s="168" t="s">
        <v>66</v>
      </c>
      <c r="E22" s="168"/>
      <c r="F22" s="156">
        <v>1</v>
      </c>
      <c r="G22" s="156">
        <v>3</v>
      </c>
      <c r="H22" s="160">
        <f t="shared" si="0"/>
        <v>3</v>
      </c>
      <c r="I22" s="156">
        <v>3</v>
      </c>
      <c r="J22" s="156">
        <v>4</v>
      </c>
      <c r="K22" s="160">
        <f t="shared" si="1"/>
        <v>6</v>
      </c>
      <c r="L22" s="158" t="s">
        <v>76</v>
      </c>
      <c r="M22" s="159">
        <v>2</v>
      </c>
      <c r="N22" s="159">
        <v>2</v>
      </c>
      <c r="O22" s="160">
        <f t="shared" si="2"/>
        <v>3</v>
      </c>
      <c r="P22" s="215" t="s">
        <v>77</v>
      </c>
      <c r="Q22" s="215"/>
      <c r="R22" s="215"/>
      <c r="S22" s="215"/>
      <c r="T22" s="215"/>
      <c r="U22" s="215"/>
      <c r="V22" s="215"/>
      <c r="W22" s="215"/>
      <c r="X22" s="215"/>
      <c r="Y22" s="216"/>
      <c r="Z22" s="97"/>
    </row>
    <row r="23" spans="1:26" ht="91.5" customHeight="1">
      <c r="A23" s="71">
        <v>5</v>
      </c>
      <c r="B23" s="165" t="s">
        <v>78</v>
      </c>
      <c r="C23" s="165"/>
      <c r="D23" s="168" t="s">
        <v>66</v>
      </c>
      <c r="E23" s="168"/>
      <c r="F23" s="156">
        <v>1</v>
      </c>
      <c r="G23" s="156">
        <v>3</v>
      </c>
      <c r="H23" s="157">
        <f t="shared" si="0"/>
        <v>3</v>
      </c>
      <c r="I23" s="156">
        <v>3</v>
      </c>
      <c r="J23" s="156">
        <v>4</v>
      </c>
      <c r="K23" s="157">
        <f t="shared" si="1"/>
        <v>6</v>
      </c>
      <c r="L23" s="158" t="s">
        <v>79</v>
      </c>
      <c r="M23" s="156">
        <v>2</v>
      </c>
      <c r="N23" s="156">
        <v>2</v>
      </c>
      <c r="O23" s="157">
        <f t="shared" si="2"/>
        <v>3</v>
      </c>
      <c r="P23" s="217" t="s">
        <v>80</v>
      </c>
      <c r="Q23" s="217"/>
      <c r="R23" s="217"/>
      <c r="S23" s="217"/>
      <c r="T23" s="217"/>
      <c r="U23" s="217"/>
      <c r="V23" s="217"/>
      <c r="W23" s="217"/>
      <c r="X23" s="217"/>
      <c r="Y23" s="218"/>
      <c r="Z23" s="72"/>
    </row>
    <row r="24" spans="1:26" s="98" customFormat="1" ht="78.75" customHeight="1">
      <c r="A24" s="96">
        <v>6</v>
      </c>
      <c r="B24" s="165" t="s">
        <v>81</v>
      </c>
      <c r="C24" s="165"/>
      <c r="D24" s="168" t="s">
        <v>66</v>
      </c>
      <c r="E24" s="168"/>
      <c r="F24" s="156">
        <v>1</v>
      </c>
      <c r="G24" s="156">
        <v>3</v>
      </c>
      <c r="H24" s="160">
        <f t="shared" si="0"/>
        <v>3</v>
      </c>
      <c r="I24" s="156">
        <v>3</v>
      </c>
      <c r="J24" s="156">
        <v>4</v>
      </c>
      <c r="K24" s="160">
        <f t="shared" si="1"/>
        <v>6</v>
      </c>
      <c r="L24" s="158" t="s">
        <v>82</v>
      </c>
      <c r="M24" s="156">
        <v>2</v>
      </c>
      <c r="N24" s="156">
        <v>2</v>
      </c>
      <c r="O24" s="157">
        <f t="shared" si="2"/>
        <v>3</v>
      </c>
      <c r="P24" s="217" t="s">
        <v>83</v>
      </c>
      <c r="Q24" s="217"/>
      <c r="R24" s="217"/>
      <c r="S24" s="217"/>
      <c r="T24" s="217"/>
      <c r="U24" s="217"/>
      <c r="V24" s="217"/>
      <c r="W24" s="217"/>
      <c r="X24" s="217"/>
      <c r="Y24" s="218"/>
      <c r="Z24" s="97"/>
    </row>
    <row r="25" spans="1:26" ht="60" customHeight="1">
      <c r="A25" s="71">
        <v>7</v>
      </c>
      <c r="B25" s="165" t="s">
        <v>84</v>
      </c>
      <c r="C25" s="165"/>
      <c r="D25" s="168" t="s">
        <v>66</v>
      </c>
      <c r="E25" s="168"/>
      <c r="F25" s="156">
        <v>1</v>
      </c>
      <c r="G25" s="156">
        <v>3</v>
      </c>
      <c r="H25" s="157">
        <f t="shared" si="0"/>
        <v>3</v>
      </c>
      <c r="I25" s="156">
        <v>3</v>
      </c>
      <c r="J25" s="156">
        <v>4</v>
      </c>
      <c r="K25" s="157">
        <f t="shared" si="1"/>
        <v>6</v>
      </c>
      <c r="L25" s="158" t="s">
        <v>85</v>
      </c>
      <c r="M25" s="156">
        <v>2</v>
      </c>
      <c r="N25" s="156">
        <v>2</v>
      </c>
      <c r="O25" s="157">
        <f t="shared" si="2"/>
        <v>3</v>
      </c>
      <c r="P25" s="215" t="s">
        <v>86</v>
      </c>
      <c r="Q25" s="215"/>
      <c r="R25" s="215"/>
      <c r="S25" s="215"/>
      <c r="T25" s="215"/>
      <c r="U25" s="215"/>
      <c r="V25" s="215"/>
      <c r="W25" s="215"/>
      <c r="X25" s="215"/>
      <c r="Y25" s="216"/>
      <c r="Z25" s="72"/>
    </row>
    <row r="26" spans="1:26" ht="25.5" customHeight="1" thickBot="1">
      <c r="A26" s="161" t="s">
        <v>87</v>
      </c>
      <c r="B26" s="275"/>
      <c r="C26" s="276"/>
      <c r="D26" s="283"/>
      <c r="E26" s="283"/>
      <c r="F26" s="162"/>
      <c r="G26" s="162"/>
      <c r="H26" s="163"/>
      <c r="I26" s="162"/>
      <c r="J26" s="162"/>
      <c r="K26" s="163"/>
      <c r="L26" s="164"/>
      <c r="M26" s="162"/>
      <c r="N26" s="162"/>
      <c r="O26" s="163"/>
      <c r="P26" s="283"/>
      <c r="Q26" s="283"/>
      <c r="R26" s="283"/>
      <c r="S26" s="283"/>
      <c r="T26" s="283"/>
      <c r="U26" s="283"/>
      <c r="V26" s="283"/>
      <c r="W26" s="283"/>
      <c r="X26" s="283"/>
      <c r="Y26" s="284"/>
      <c r="Z26" s="72"/>
    </row>
    <row r="27" spans="1:26" ht="10.5" customHeight="1" thickBot="1">
      <c r="A27" s="272" t="s">
        <v>88</v>
      </c>
      <c r="B27" s="273"/>
      <c r="C27" s="273"/>
      <c r="D27" s="273"/>
      <c r="E27" s="273"/>
      <c r="F27" s="273"/>
      <c r="G27" s="273"/>
      <c r="H27" s="273"/>
      <c r="I27" s="273"/>
      <c r="J27" s="273"/>
      <c r="K27" s="273"/>
      <c r="L27" s="273"/>
      <c r="M27" s="273"/>
      <c r="N27" s="273"/>
      <c r="O27" s="273"/>
      <c r="P27" s="273"/>
      <c r="Q27" s="273"/>
      <c r="R27" s="273"/>
      <c r="S27" s="273"/>
      <c r="T27" s="273"/>
      <c r="U27" s="273"/>
      <c r="V27" s="273"/>
      <c r="W27" s="273"/>
      <c r="X27" s="273"/>
      <c r="Y27" s="274"/>
    </row>
    <row r="28" spans="1:26" ht="34.5" customHeight="1" thickBot="1">
      <c r="A28" s="285" t="s">
        <v>89</v>
      </c>
      <c r="B28" s="286"/>
      <c r="C28" s="286"/>
      <c r="D28" s="286"/>
      <c r="E28" s="286"/>
      <c r="F28" s="286"/>
      <c r="G28" s="286"/>
      <c r="H28" s="286"/>
      <c r="I28" s="286"/>
      <c r="J28" s="286"/>
      <c r="K28" s="286"/>
      <c r="L28" s="286"/>
      <c r="M28" s="286"/>
      <c r="N28" s="286"/>
      <c r="O28" s="286"/>
      <c r="P28" s="286"/>
      <c r="Q28" s="286"/>
      <c r="R28" s="286"/>
      <c r="S28" s="286"/>
      <c r="T28" s="286"/>
      <c r="U28" s="286"/>
      <c r="V28" s="286"/>
      <c r="W28" s="286"/>
      <c r="X28" s="286"/>
      <c r="Y28" s="287"/>
    </row>
    <row r="29" spans="1:26" ht="12.6" customHeight="1" thickBot="1">
      <c r="A29" s="266" t="s">
        <v>90</v>
      </c>
      <c r="B29" s="267"/>
      <c r="C29" s="268"/>
      <c r="D29" s="277" t="s">
        <v>91</v>
      </c>
      <c r="E29" s="278"/>
      <c r="F29" s="278"/>
      <c r="G29" s="278"/>
      <c r="H29" s="278"/>
      <c r="I29" s="278"/>
      <c r="J29" s="278"/>
      <c r="K29" s="279"/>
      <c r="L29" s="291" t="s">
        <v>92</v>
      </c>
      <c r="M29" s="278"/>
      <c r="N29" s="278"/>
      <c r="O29" s="278"/>
      <c r="P29" s="279"/>
      <c r="Q29" s="76" t="s">
        <v>93</v>
      </c>
      <c r="R29" s="288">
        <v>45733</v>
      </c>
      <c r="S29" s="289"/>
      <c r="T29" s="289"/>
      <c r="U29" s="289"/>
      <c r="V29" s="289"/>
      <c r="W29" s="289"/>
      <c r="X29" s="289"/>
      <c r="Y29" s="290"/>
    </row>
    <row r="30" spans="1:26" ht="12" customHeight="1" thickBot="1">
      <c r="A30" s="269" t="s">
        <v>94</v>
      </c>
      <c r="B30" s="270"/>
      <c r="C30" s="271"/>
      <c r="D30" s="280" t="s">
        <v>95</v>
      </c>
      <c r="E30" s="281"/>
      <c r="F30" s="281"/>
      <c r="G30" s="281"/>
      <c r="H30" s="281"/>
      <c r="I30" s="281"/>
      <c r="J30" s="281"/>
      <c r="K30" s="282"/>
      <c r="L30" s="292" t="s">
        <v>96</v>
      </c>
      <c r="M30" s="293"/>
      <c r="N30" s="293"/>
      <c r="O30" s="293"/>
      <c r="P30" s="294"/>
      <c r="Q30" s="77" t="s">
        <v>93</v>
      </c>
      <c r="R30" s="288">
        <v>45733</v>
      </c>
      <c r="S30" s="289"/>
      <c r="T30" s="289"/>
      <c r="U30" s="289"/>
      <c r="V30" s="289"/>
      <c r="W30" s="289"/>
      <c r="X30" s="289"/>
      <c r="Y30" s="290"/>
    </row>
    <row r="31" spans="1:26" hidden="1">
      <c r="A31" s="72"/>
      <c r="B31" s="72"/>
      <c r="C31" s="72"/>
      <c r="D31" s="72"/>
      <c r="E31" s="72"/>
      <c r="F31" s="72"/>
      <c r="G31" s="72"/>
      <c r="H31" s="72"/>
      <c r="I31" s="72"/>
      <c r="J31" s="72"/>
      <c r="K31" s="72"/>
      <c r="L31" s="72"/>
      <c r="M31" s="72"/>
      <c r="N31" s="72"/>
      <c r="O31" s="72"/>
      <c r="P31" s="72"/>
      <c r="Q31" s="72"/>
      <c r="R31" s="72"/>
      <c r="S31" s="72"/>
      <c r="T31" s="72"/>
      <c r="U31" s="72"/>
      <c r="V31" s="72"/>
      <c r="W31" s="72"/>
      <c r="X31" s="72"/>
      <c r="Y31" s="72"/>
    </row>
    <row r="32" spans="1:26"/>
    <row r="43" ht="48" hidden="1" customHeight="1"/>
    <row r="44" ht="57" hidden="1" customHeight="1"/>
    <row r="45" ht="34.5" hidden="1" customHeight="1"/>
    <row r="50"/>
    <row r="51"/>
    <row r="52"/>
    <row r="53"/>
    <row r="54"/>
  </sheetData>
  <mergeCells count="79">
    <mergeCell ref="A29:C29"/>
    <mergeCell ref="B25:C25"/>
    <mergeCell ref="A30:C30"/>
    <mergeCell ref="A27:Y27"/>
    <mergeCell ref="B26:C26"/>
    <mergeCell ref="D29:K29"/>
    <mergeCell ref="D30:K30"/>
    <mergeCell ref="P26:Y26"/>
    <mergeCell ref="D26:E26"/>
    <mergeCell ref="A28:Y28"/>
    <mergeCell ref="D25:E25"/>
    <mergeCell ref="R29:Y29"/>
    <mergeCell ref="R30:Y30"/>
    <mergeCell ref="L29:P29"/>
    <mergeCell ref="L30:P30"/>
    <mergeCell ref="P1:Y1"/>
    <mergeCell ref="P2:Y2"/>
    <mergeCell ref="A7:Y7"/>
    <mergeCell ref="X3:Y3"/>
    <mergeCell ref="X4:Y4"/>
    <mergeCell ref="G5:L5"/>
    <mergeCell ref="G6:L6"/>
    <mergeCell ref="M6:O6"/>
    <mergeCell ref="U5:W5"/>
    <mergeCell ref="D1:O1"/>
    <mergeCell ref="A1:C4"/>
    <mergeCell ref="A5:F5"/>
    <mergeCell ref="P6:T6"/>
    <mergeCell ref="Q3:R3"/>
    <mergeCell ref="S3:W3"/>
    <mergeCell ref="X6:Y6"/>
    <mergeCell ref="A17:C18"/>
    <mergeCell ref="B19:C19"/>
    <mergeCell ref="B20:C20"/>
    <mergeCell ref="E10:E15"/>
    <mergeCell ref="A16:Y16"/>
    <mergeCell ref="L10:L11"/>
    <mergeCell ref="P19:Y19"/>
    <mergeCell ref="P20:Y20"/>
    <mergeCell ref="I17:K17"/>
    <mergeCell ref="M14:Y15"/>
    <mergeCell ref="L17:L18"/>
    <mergeCell ref="M17:O17"/>
    <mergeCell ref="P21:Y21"/>
    <mergeCell ref="P22:Y22"/>
    <mergeCell ref="P23:Y23"/>
    <mergeCell ref="P24:Y24"/>
    <mergeCell ref="P25:Y25"/>
    <mergeCell ref="L14:L15"/>
    <mergeCell ref="R8:Y8"/>
    <mergeCell ref="X5:Y5"/>
    <mergeCell ref="A6:F6"/>
    <mergeCell ref="M5:O5"/>
    <mergeCell ref="A9:B10"/>
    <mergeCell ref="Q4:R4"/>
    <mergeCell ref="S4:W4"/>
    <mergeCell ref="C9:D10"/>
    <mergeCell ref="M9:Y9"/>
    <mergeCell ref="P5:T5"/>
    <mergeCell ref="D2:O4"/>
    <mergeCell ref="F9:K9"/>
    <mergeCell ref="A8:C8"/>
    <mergeCell ref="U6:W6"/>
    <mergeCell ref="B21:C21"/>
    <mergeCell ref="M10:Y11"/>
    <mergeCell ref="B24:C24"/>
    <mergeCell ref="B22:C22"/>
    <mergeCell ref="B23:C23"/>
    <mergeCell ref="D24:E24"/>
    <mergeCell ref="D19:E19"/>
    <mergeCell ref="D20:E20"/>
    <mergeCell ref="D21:E21"/>
    <mergeCell ref="D22:E22"/>
    <mergeCell ref="D23:E23"/>
    <mergeCell ref="P17:Y18"/>
    <mergeCell ref="F17:H17"/>
    <mergeCell ref="D17:E18"/>
    <mergeCell ref="L12:L13"/>
    <mergeCell ref="M12:Y13"/>
  </mergeCells>
  <phoneticPr fontId="21" type="noConversion"/>
  <conditionalFormatting sqref="K19:K21 K24">
    <cfRule type="cellIs" dxfId="136" priority="118" operator="greaterThan">
      <formula>5.91</formula>
    </cfRule>
    <cfRule type="cellIs" dxfId="135" priority="119" operator="between">
      <formula>3.5</formula>
      <formula>5.9</formula>
    </cfRule>
    <cfRule type="cellIs" dxfId="134" priority="120" operator="between">
      <formula>0.9</formula>
      <formula>3.49</formula>
    </cfRule>
  </conditionalFormatting>
  <conditionalFormatting sqref="K22">
    <cfRule type="cellIs" dxfId="133" priority="82" operator="greaterThan">
      <formula>5.91</formula>
    </cfRule>
    <cfRule type="cellIs" dxfId="132" priority="83" operator="between">
      <formula>3.5</formula>
      <formula>5.9</formula>
    </cfRule>
    <cfRule type="cellIs" dxfId="131" priority="84" operator="between">
      <formula>0.9</formula>
      <formula>3.49</formula>
    </cfRule>
  </conditionalFormatting>
  <conditionalFormatting sqref="K23">
    <cfRule type="cellIs" dxfId="130" priority="79" operator="greaterThan">
      <formula>5.91</formula>
    </cfRule>
    <cfRule type="cellIs" dxfId="129" priority="80" operator="between">
      <formula>3.5</formula>
      <formula>5.9</formula>
    </cfRule>
    <cfRule type="cellIs" dxfId="128" priority="81" operator="between">
      <formula>0.9</formula>
      <formula>3.49</formula>
    </cfRule>
  </conditionalFormatting>
  <conditionalFormatting sqref="K25">
    <cfRule type="cellIs" dxfId="127" priority="76" operator="greaterThan">
      <formula>5.91</formula>
    </cfRule>
    <cfRule type="cellIs" dxfId="126" priority="77" operator="between">
      <formula>3.5</formula>
      <formula>5.9</formula>
    </cfRule>
    <cfRule type="cellIs" dxfId="125" priority="78" operator="between">
      <formula>0.9</formula>
      <formula>3.49</formula>
    </cfRule>
  </conditionalFormatting>
  <conditionalFormatting sqref="K26">
    <cfRule type="cellIs" dxfId="124" priority="61" operator="greaterThan">
      <formula>5.91</formula>
    </cfRule>
    <cfRule type="cellIs" dxfId="123" priority="62" operator="between">
      <formula>3.5</formula>
      <formula>5.9</formula>
    </cfRule>
    <cfRule type="cellIs" dxfId="122" priority="63" operator="between">
      <formula>0.9</formula>
      <formula>3.49</formula>
    </cfRule>
  </conditionalFormatting>
  <conditionalFormatting sqref="H19:H21 H24">
    <cfRule type="cellIs" dxfId="121" priority="37" operator="greaterThan">
      <formula>5.91</formula>
    </cfRule>
    <cfRule type="cellIs" dxfId="120" priority="38" operator="between">
      <formula>3.5</formula>
      <formula>5.9</formula>
    </cfRule>
    <cfRule type="cellIs" dxfId="119" priority="39" operator="between">
      <formula>0.9</formula>
      <formula>3.49</formula>
    </cfRule>
  </conditionalFormatting>
  <conditionalFormatting sqref="H22">
    <cfRule type="cellIs" dxfId="118" priority="34" operator="greaterThan">
      <formula>5.91</formula>
    </cfRule>
    <cfRule type="cellIs" dxfId="117" priority="35" operator="between">
      <formula>3.5</formula>
      <formula>5.9</formula>
    </cfRule>
    <cfRule type="cellIs" dxfId="116" priority="36" operator="between">
      <formula>0.9</formula>
      <formula>3.49</formula>
    </cfRule>
  </conditionalFormatting>
  <conditionalFormatting sqref="H23">
    <cfRule type="cellIs" dxfId="115" priority="31" operator="greaterThan">
      <formula>5.91</formula>
    </cfRule>
    <cfRule type="cellIs" dxfId="114" priority="32" operator="between">
      <formula>3.5</formula>
      <formula>5.9</formula>
    </cfRule>
    <cfRule type="cellIs" dxfId="113" priority="33" operator="between">
      <formula>0.9</formula>
      <formula>3.49</formula>
    </cfRule>
  </conditionalFormatting>
  <conditionalFormatting sqref="H25">
    <cfRule type="cellIs" dxfId="112" priority="28" operator="greaterThan">
      <formula>5.91</formula>
    </cfRule>
    <cfRule type="cellIs" dxfId="111" priority="29" operator="between">
      <formula>3.5</formula>
      <formula>5.9</formula>
    </cfRule>
    <cfRule type="cellIs" dxfId="110" priority="30" operator="between">
      <formula>0.9</formula>
      <formula>3.49</formula>
    </cfRule>
  </conditionalFormatting>
  <conditionalFormatting sqref="H26">
    <cfRule type="cellIs" dxfId="109" priority="22" operator="greaterThan">
      <formula>5.91</formula>
    </cfRule>
    <cfRule type="cellIs" dxfId="108" priority="23" operator="between">
      <formula>3.5</formula>
      <formula>5.9</formula>
    </cfRule>
    <cfRule type="cellIs" dxfId="107" priority="24" operator="between">
      <formula>0.9</formula>
      <formula>3.49</formula>
    </cfRule>
  </conditionalFormatting>
  <conditionalFormatting sqref="O26">
    <cfRule type="cellIs" dxfId="106" priority="1" operator="greaterThan">
      <formula>5.91</formula>
    </cfRule>
    <cfRule type="cellIs" dxfId="105" priority="2" operator="between">
      <formula>3.5</formula>
      <formula>5.9</formula>
    </cfRule>
    <cfRule type="cellIs" dxfId="104" priority="3" operator="between">
      <formula>0.9</formula>
      <formula>3.49</formula>
    </cfRule>
  </conditionalFormatting>
  <conditionalFormatting sqref="O19:O21 O24">
    <cfRule type="cellIs" dxfId="103" priority="19" operator="greaterThan">
      <formula>5.91</formula>
    </cfRule>
    <cfRule type="cellIs" dxfId="102" priority="20" operator="between">
      <formula>3.5</formula>
      <formula>5.9</formula>
    </cfRule>
    <cfRule type="cellIs" dxfId="101" priority="21" operator="between">
      <formula>0.9</formula>
      <formula>3.49</formula>
    </cfRule>
  </conditionalFormatting>
  <conditionalFormatting sqref="O22">
    <cfRule type="cellIs" dxfId="100" priority="13" operator="greaterThan">
      <formula>5.91</formula>
    </cfRule>
    <cfRule type="cellIs" dxfId="99" priority="14" operator="between">
      <formula>3.5</formula>
      <formula>5.9</formula>
    </cfRule>
    <cfRule type="cellIs" dxfId="98" priority="15" operator="between">
      <formula>0.9</formula>
      <formula>3.49</formula>
    </cfRule>
  </conditionalFormatting>
  <conditionalFormatting sqref="O23">
    <cfRule type="cellIs" dxfId="97" priority="10" operator="greaterThan">
      <formula>5.91</formula>
    </cfRule>
    <cfRule type="cellIs" dxfId="96" priority="11" operator="between">
      <formula>3.5</formula>
      <formula>5.9</formula>
    </cfRule>
    <cfRule type="cellIs" dxfId="95" priority="12" operator="between">
      <formula>0.9</formula>
      <formula>3.49</formula>
    </cfRule>
  </conditionalFormatting>
  <conditionalFormatting sqref="O25">
    <cfRule type="cellIs" dxfId="94" priority="7" operator="greaterThan">
      <formula>5.91</formula>
    </cfRule>
    <cfRule type="cellIs" dxfId="93" priority="8" operator="between">
      <formula>3.5</formula>
      <formula>5.9</formula>
    </cfRule>
    <cfRule type="cellIs" dxfId="92" priority="9" operator="between">
      <formula>0.9</formula>
      <formula>3.49</formula>
    </cfRule>
  </conditionalFormatting>
  <pageMargins left="0.25" right="0" top="0.25" bottom="0" header="0" footer="0"/>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Check Box 3">
              <controlPr defaultSize="0" autoFill="0" autoLine="0" autoPict="0">
                <anchor moveWithCells="1">
                  <from>
                    <xdr:col>0</xdr:col>
                    <xdr:colOff>69850</xdr:colOff>
                    <xdr:row>7</xdr:row>
                    <xdr:rowOff>31750</xdr:rowOff>
                  </from>
                  <to>
                    <xdr:col>2</xdr:col>
                    <xdr:colOff>222250</xdr:colOff>
                    <xdr:row>7</xdr:row>
                    <xdr:rowOff>190500</xdr:rowOff>
                  </to>
                </anchor>
              </controlPr>
            </control>
          </mc:Choice>
        </mc:AlternateContent>
        <mc:AlternateContent xmlns:mc="http://schemas.openxmlformats.org/markup-compatibility/2006">
          <mc:Choice Requires="x14">
            <control shapeId="1028" r:id="rId5" name="Check Box 4">
              <controlPr locked="0" defaultSize="0" autoFill="0" autoLine="0" autoPict="0">
                <anchor moveWithCells="1">
                  <from>
                    <xdr:col>2</xdr:col>
                    <xdr:colOff>355600</xdr:colOff>
                    <xdr:row>7</xdr:row>
                    <xdr:rowOff>31750</xdr:rowOff>
                  </from>
                  <to>
                    <xdr:col>4</xdr:col>
                    <xdr:colOff>38100</xdr:colOff>
                    <xdr:row>7</xdr:row>
                    <xdr:rowOff>190500</xdr:rowOff>
                  </to>
                </anchor>
              </controlPr>
            </control>
          </mc:Choice>
        </mc:AlternateContent>
        <mc:AlternateContent xmlns:mc="http://schemas.openxmlformats.org/markup-compatibility/2006">
          <mc:Choice Requires="x14">
            <control shapeId="1029" r:id="rId6" name="Check Box 5">
              <controlPr defaultSize="0" autoFill="0" autoLine="0" autoPict="0">
                <anchor moveWithCells="1">
                  <from>
                    <xdr:col>6</xdr:col>
                    <xdr:colOff>12700</xdr:colOff>
                    <xdr:row>7</xdr:row>
                    <xdr:rowOff>31750</xdr:rowOff>
                  </from>
                  <to>
                    <xdr:col>9</xdr:col>
                    <xdr:colOff>222250</xdr:colOff>
                    <xdr:row>7</xdr:row>
                    <xdr:rowOff>190500</xdr:rowOff>
                  </to>
                </anchor>
              </controlPr>
            </control>
          </mc:Choice>
        </mc:AlternateContent>
        <mc:AlternateContent xmlns:mc="http://schemas.openxmlformats.org/markup-compatibility/2006">
          <mc:Choice Requires="x14">
            <control shapeId="1030" r:id="rId7" name="Check Box 6">
              <controlPr locked="0" defaultSize="0" autoFill="0" autoLine="0" autoPict="0">
                <anchor moveWithCells="1">
                  <from>
                    <xdr:col>9</xdr:col>
                    <xdr:colOff>190500</xdr:colOff>
                    <xdr:row>7</xdr:row>
                    <xdr:rowOff>31750</xdr:rowOff>
                  </from>
                  <to>
                    <xdr:col>11</xdr:col>
                    <xdr:colOff>781050</xdr:colOff>
                    <xdr:row>7</xdr:row>
                    <xdr:rowOff>190500</xdr:rowOff>
                  </to>
                </anchor>
              </controlPr>
            </control>
          </mc:Choice>
        </mc:AlternateContent>
        <mc:AlternateContent xmlns:mc="http://schemas.openxmlformats.org/markup-compatibility/2006">
          <mc:Choice Requires="x14">
            <control shapeId="1031" r:id="rId8" name="Check Box 7">
              <controlPr defaultSize="0" autoFill="0" autoLine="0" autoPict="0">
                <anchor moveWithCells="1">
                  <from>
                    <xdr:col>11</xdr:col>
                    <xdr:colOff>647700</xdr:colOff>
                    <xdr:row>7</xdr:row>
                    <xdr:rowOff>31750</xdr:rowOff>
                  </from>
                  <to>
                    <xdr:col>12</xdr:col>
                    <xdr:colOff>127000</xdr:colOff>
                    <xdr:row>7</xdr:row>
                    <xdr:rowOff>190500</xdr:rowOff>
                  </to>
                </anchor>
              </controlPr>
            </control>
          </mc:Choice>
        </mc:AlternateContent>
        <mc:AlternateContent xmlns:mc="http://schemas.openxmlformats.org/markup-compatibility/2006">
          <mc:Choice Requires="x14">
            <control shapeId="1032" r:id="rId9" name="Check Box 8">
              <controlPr defaultSize="0" autoFill="0" autoLine="0" autoPict="0">
                <anchor moveWithCells="1">
                  <from>
                    <xdr:col>12</xdr:col>
                    <xdr:colOff>165100</xdr:colOff>
                    <xdr:row>7</xdr:row>
                    <xdr:rowOff>31750</xdr:rowOff>
                  </from>
                  <to>
                    <xdr:col>16</xdr:col>
                    <xdr:colOff>165100</xdr:colOff>
                    <xdr:row>7</xdr:row>
                    <xdr:rowOff>190500</xdr:rowOff>
                  </to>
                </anchor>
              </controlPr>
            </control>
          </mc:Choice>
        </mc:AlternateContent>
        <mc:AlternateContent xmlns:mc="http://schemas.openxmlformats.org/markup-compatibility/2006">
          <mc:Choice Requires="x14">
            <control shapeId="1039" r:id="rId10" name="Check Box 15">
              <controlPr locked="0" defaultSize="0" autoFill="0" autoLine="0" autoPict="0" altText="FieldCore Employees">
                <anchor moveWithCells="1">
                  <from>
                    <xdr:col>15</xdr:col>
                    <xdr:colOff>266700</xdr:colOff>
                    <xdr:row>6</xdr:row>
                    <xdr:rowOff>165100</xdr:rowOff>
                  </from>
                  <to>
                    <xdr:col>19</xdr:col>
                    <xdr:colOff>127000</xdr:colOff>
                    <xdr:row>7</xdr:row>
                    <xdr:rowOff>203200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D489D34D-9869-455C-9962-BA3ECA764908}">
          <x14:formula1>
            <xm:f>Hazard_Defense_Code!$F$1:$F$5</xm:f>
          </x14:formula1>
          <xm:sqref>I19:J26 F19:G26 M19:N26</xm:sqref>
        </x14:dataValidation>
        <x14:dataValidation type="list" allowBlank="1" showInputMessage="1" showErrorMessage="1" xr:uid="{DA767999-B250-4A89-85C1-162C34E3B701}">
          <x14:formula1>
            <xm:f>Hazard_Defense_Code!$A$79:$A$195</xm:f>
          </x14:formula1>
          <xm:sqref>L26</xm:sqref>
        </x14:dataValidation>
        <x14:dataValidation type="list" allowBlank="1" showInputMessage="1" showErrorMessage="1" xr:uid="{6D4ED0D4-47CA-4089-91E7-77A2546EBD2F}">
          <x14:formula1>
            <xm:f>Hazard_Defense_Code!$A$3:$A$73</xm:f>
          </x14:formula1>
          <xm:sqref>D19:D26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417D80-EE5C-42BA-9AD1-66C404F0CC7B}">
  <sheetPr codeName="Sheet8">
    <pageSetUpPr fitToPage="1"/>
  </sheetPr>
  <dimension ref="A1:P20"/>
  <sheetViews>
    <sheetView zoomScale="90" zoomScaleNormal="90" workbookViewId="0">
      <selection activeCell="I8" sqref="I8:K8"/>
    </sheetView>
  </sheetViews>
  <sheetFormatPr defaultColWidth="0" defaultRowHeight="14.45" zeroHeight="1"/>
  <cols>
    <col min="1" max="1" width="3.5703125" style="1" customWidth="1"/>
    <col min="2" max="2" width="14.140625" style="1" customWidth="1"/>
    <col min="3" max="3" width="14.7109375" style="1" customWidth="1"/>
    <col min="4" max="4" width="15" style="1" customWidth="1"/>
    <col min="5" max="5" width="14.5703125" style="1" customWidth="1"/>
    <col min="6" max="6" width="14.42578125" style="1" customWidth="1"/>
    <col min="7" max="7" width="13.28515625" style="1" customWidth="1"/>
    <col min="8" max="8" width="3" style="1" customWidth="1"/>
    <col min="9" max="9" width="12.28515625" style="1" customWidth="1"/>
    <col min="10" max="10" width="22.85546875" style="1" customWidth="1"/>
    <col min="11" max="11" width="51.28515625" style="1" customWidth="1"/>
    <col min="12" max="12" width="56.28515625" style="1" customWidth="1"/>
    <col min="13" max="13" width="3.140625" style="1" customWidth="1"/>
    <col min="14" max="16" width="0" style="1" hidden="1" customWidth="1"/>
    <col min="17" max="16384" width="8" style="1" hidden="1"/>
  </cols>
  <sheetData>
    <row r="1" spans="1:13" ht="7.5" customHeight="1">
      <c r="A1" s="2"/>
      <c r="B1" s="2"/>
      <c r="C1" s="2"/>
      <c r="D1" s="2"/>
      <c r="E1" s="2"/>
      <c r="F1" s="2"/>
      <c r="G1" s="2"/>
      <c r="H1" s="2"/>
      <c r="I1" s="2"/>
      <c r="J1" s="2"/>
      <c r="K1" s="2"/>
      <c r="L1" s="2"/>
    </row>
    <row r="2" spans="1:13" ht="15" customHeight="1">
      <c r="A2" s="2"/>
      <c r="B2" s="2"/>
      <c r="C2" s="295" t="s">
        <v>97</v>
      </c>
      <c r="D2" s="296"/>
      <c r="E2" s="296"/>
      <c r="F2" s="296"/>
      <c r="G2" s="297"/>
      <c r="H2" s="2"/>
      <c r="I2" s="2"/>
      <c r="J2" s="2"/>
      <c r="K2" s="2"/>
      <c r="L2" s="2"/>
      <c r="M2" s="2"/>
    </row>
    <row r="3" spans="1:13" ht="21.75" customHeight="1">
      <c r="A3" s="2"/>
      <c r="B3" s="304" t="s">
        <v>98</v>
      </c>
      <c r="C3" s="309" t="s">
        <v>99</v>
      </c>
      <c r="D3" s="312" t="s">
        <v>100</v>
      </c>
      <c r="E3" s="313"/>
      <c r="F3" s="310" t="s">
        <v>101</v>
      </c>
      <c r="G3" s="309" t="s">
        <v>102</v>
      </c>
      <c r="H3" s="2"/>
      <c r="I3" s="300" t="s">
        <v>103</v>
      </c>
      <c r="J3" s="301"/>
      <c r="K3" s="298" t="s">
        <v>104</v>
      </c>
      <c r="L3" s="298" t="s">
        <v>105</v>
      </c>
      <c r="M3" s="2"/>
    </row>
    <row r="4" spans="1:13" ht="15.75" customHeight="1">
      <c r="A4" s="2"/>
      <c r="B4" s="305"/>
      <c r="C4" s="309"/>
      <c r="D4" s="314"/>
      <c r="E4" s="315"/>
      <c r="F4" s="311"/>
      <c r="G4" s="309"/>
      <c r="H4" s="2"/>
      <c r="I4" s="302"/>
      <c r="J4" s="303"/>
      <c r="K4" s="299"/>
      <c r="L4" s="299"/>
      <c r="M4" s="2"/>
    </row>
    <row r="5" spans="1:13" ht="52.5" customHeight="1">
      <c r="A5" s="2"/>
      <c r="B5" s="306"/>
      <c r="C5" s="9" t="s">
        <v>106</v>
      </c>
      <c r="D5" s="9" t="s">
        <v>107</v>
      </c>
      <c r="E5" s="9" t="s">
        <v>108</v>
      </c>
      <c r="F5" s="9" t="s">
        <v>109</v>
      </c>
      <c r="G5" s="9" t="s">
        <v>110</v>
      </c>
      <c r="H5" s="2"/>
      <c r="I5" s="17" t="s">
        <v>111</v>
      </c>
      <c r="J5" s="16" t="s">
        <v>112</v>
      </c>
      <c r="K5" s="46" t="s">
        <v>113</v>
      </c>
      <c r="L5" s="45" t="s">
        <v>114</v>
      </c>
      <c r="M5" s="2"/>
    </row>
    <row r="6" spans="1:13" ht="59.25" customHeight="1">
      <c r="A6" s="2"/>
      <c r="B6" s="9" t="s">
        <v>115</v>
      </c>
      <c r="C6" s="7">
        <v>5</v>
      </c>
      <c r="D6" s="11">
        <v>6</v>
      </c>
      <c r="E6" s="11">
        <v>7</v>
      </c>
      <c r="F6" s="11">
        <v>8</v>
      </c>
      <c r="G6" s="11">
        <v>9</v>
      </c>
      <c r="H6" s="2"/>
      <c r="I6" s="15" t="s">
        <v>116</v>
      </c>
      <c r="J6" s="14" t="s">
        <v>117</v>
      </c>
      <c r="K6" s="46" t="s">
        <v>118</v>
      </c>
      <c r="L6" s="45" t="s">
        <v>119</v>
      </c>
      <c r="M6" s="2"/>
    </row>
    <row r="7" spans="1:13" ht="59.25" customHeight="1">
      <c r="A7" s="2"/>
      <c r="B7" s="9" t="s">
        <v>120</v>
      </c>
      <c r="C7" s="7">
        <v>4</v>
      </c>
      <c r="D7" s="7">
        <v>5</v>
      </c>
      <c r="E7" s="11">
        <v>6</v>
      </c>
      <c r="F7" s="11">
        <v>7</v>
      </c>
      <c r="G7" s="11">
        <v>8</v>
      </c>
      <c r="H7" s="2"/>
      <c r="I7" s="13" t="s">
        <v>121</v>
      </c>
      <c r="J7" s="12" t="s">
        <v>122</v>
      </c>
      <c r="K7" s="46" t="s">
        <v>123</v>
      </c>
      <c r="L7" s="45" t="s">
        <v>124</v>
      </c>
      <c r="M7" s="2"/>
    </row>
    <row r="8" spans="1:13" ht="59.25" customHeight="1">
      <c r="A8" s="2"/>
      <c r="B8" s="9" t="s">
        <v>125</v>
      </c>
      <c r="C8" s="8">
        <v>3</v>
      </c>
      <c r="D8" s="7">
        <v>4</v>
      </c>
      <c r="E8" s="7">
        <v>5</v>
      </c>
      <c r="F8" s="11">
        <v>6</v>
      </c>
      <c r="G8" s="11">
        <v>7</v>
      </c>
      <c r="H8" s="2"/>
      <c r="I8" s="308" t="s">
        <v>126</v>
      </c>
      <c r="J8" s="308"/>
      <c r="K8" s="308"/>
      <c r="L8" s="2"/>
      <c r="M8" s="2"/>
    </row>
    <row r="9" spans="1:13" ht="59.25" customHeight="1">
      <c r="A9" s="2"/>
      <c r="B9" s="9" t="s">
        <v>127</v>
      </c>
      <c r="C9" s="8">
        <v>2</v>
      </c>
      <c r="D9" s="8">
        <v>3</v>
      </c>
      <c r="E9" s="7">
        <v>4</v>
      </c>
      <c r="F9" s="7">
        <v>5</v>
      </c>
      <c r="G9" s="11">
        <v>6</v>
      </c>
      <c r="H9" s="2"/>
      <c r="I9" s="307"/>
      <c r="J9" s="2"/>
      <c r="K9" s="2"/>
      <c r="L9" s="10"/>
      <c r="M9" s="2"/>
    </row>
    <row r="10" spans="1:13" ht="59.25" customHeight="1">
      <c r="A10" s="2"/>
      <c r="B10" s="9" t="s">
        <v>128</v>
      </c>
      <c r="C10" s="8">
        <v>1</v>
      </c>
      <c r="D10" s="8">
        <v>2</v>
      </c>
      <c r="E10" s="8">
        <v>3</v>
      </c>
      <c r="F10" s="7">
        <v>4</v>
      </c>
      <c r="G10" s="7">
        <v>5</v>
      </c>
      <c r="H10" s="2"/>
      <c r="I10" s="307"/>
      <c r="J10" s="6"/>
      <c r="K10" s="6"/>
      <c r="L10" s="6"/>
      <c r="M10" s="2"/>
    </row>
    <row r="11" spans="1:13" ht="12.75" customHeight="1">
      <c r="A11" s="2"/>
      <c r="B11" s="5"/>
      <c r="C11" s="5"/>
      <c r="D11" s="5"/>
      <c r="E11" s="5"/>
      <c r="F11" s="5"/>
      <c r="G11" s="5"/>
      <c r="H11" s="2"/>
      <c r="I11" s="4"/>
      <c r="J11" s="2"/>
      <c r="K11" s="2"/>
      <c r="L11" s="2"/>
      <c r="M11" s="2"/>
    </row>
    <row r="12" spans="1:13" ht="59.25" hidden="1" customHeight="1">
      <c r="A12" s="2"/>
      <c r="B12" s="3"/>
      <c r="C12" s="3"/>
      <c r="D12" s="3"/>
      <c r="E12" s="3"/>
      <c r="F12" s="3"/>
      <c r="G12" s="3"/>
    </row>
    <row r="13" spans="1:13" ht="57" hidden="1" customHeight="1">
      <c r="A13" s="2"/>
    </row>
    <row r="14" spans="1:13" ht="51" hidden="1" customHeight="1"/>
    <row r="15" spans="1:13" ht="51" hidden="1" customHeight="1"/>
    <row r="16" spans="1:13" ht="57.75" hidden="1" customHeight="1"/>
    <row r="17" spans="1:13" ht="51" hidden="1" customHeight="1"/>
    <row r="18" spans="1:13" ht="51" hidden="1" customHeight="1"/>
    <row r="19" spans="1:13" hidden="1">
      <c r="A19" s="2"/>
      <c r="B19" s="2"/>
      <c r="C19" s="2"/>
      <c r="D19" s="2"/>
      <c r="E19" s="2"/>
      <c r="F19" s="2"/>
      <c r="G19" s="2"/>
      <c r="H19" s="2"/>
      <c r="I19" s="2"/>
      <c r="J19" s="2"/>
      <c r="K19" s="2"/>
      <c r="L19" s="2"/>
      <c r="M19" s="2"/>
    </row>
    <row r="20" spans="1:13" hidden="1">
      <c r="A20" s="2"/>
      <c r="B20" s="2"/>
      <c r="C20" s="2"/>
      <c r="D20" s="2"/>
      <c r="E20" s="2"/>
      <c r="F20" s="2"/>
      <c r="G20" s="2"/>
      <c r="H20" s="2"/>
      <c r="I20" s="2"/>
      <c r="J20" s="2"/>
      <c r="K20" s="2"/>
      <c r="L20" s="2"/>
      <c r="M20" s="2"/>
    </row>
  </sheetData>
  <mergeCells count="11">
    <mergeCell ref="I9:I10"/>
    <mergeCell ref="I8:K8"/>
    <mergeCell ref="C3:C4"/>
    <mergeCell ref="G3:G4"/>
    <mergeCell ref="F3:F4"/>
    <mergeCell ref="D3:E4"/>
    <mergeCell ref="C2:G2"/>
    <mergeCell ref="L3:L4"/>
    <mergeCell ref="I3:J4"/>
    <mergeCell ref="K3:K4"/>
    <mergeCell ref="B3:B5"/>
  </mergeCells>
  <pageMargins left="0.14000000000000001" right="0.25" top="0.49" bottom="0.48" header="0.3" footer="0.3"/>
  <pageSetup paperSize="9" scale="57" fitToHeight="0" orientation="landscape" r:id="rId1"/>
  <headerFooter>
    <oddHeader>&amp;L&amp;"Gotham Rounded Book,Regular"FC-GL-EHS-MAN-0501-F3 (Issue 4) - Risk Matrix</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829E21-7301-4EA6-B9CB-B9123A863AA8}">
  <sheetPr codeName="Sheet9">
    <pageSetUpPr fitToPage="1"/>
  </sheetPr>
  <dimension ref="A1:I9"/>
  <sheetViews>
    <sheetView zoomScaleNormal="100" workbookViewId="0">
      <selection activeCell="D7" sqref="D7"/>
    </sheetView>
  </sheetViews>
  <sheetFormatPr defaultColWidth="0" defaultRowHeight="14.45" zeroHeight="1"/>
  <cols>
    <col min="1" max="1" width="1.42578125" style="1" customWidth="1"/>
    <col min="2" max="2" width="9.140625" style="1" customWidth="1"/>
    <col min="3" max="3" width="11.85546875" style="1" customWidth="1"/>
    <col min="4" max="4" width="42.42578125" style="1" bestFit="1" customWidth="1"/>
    <col min="5" max="5" width="47" style="1" bestFit="1" customWidth="1"/>
    <col min="6" max="6" width="61.42578125" style="1" customWidth="1"/>
    <col min="7" max="7" width="41.7109375" style="1" customWidth="1"/>
    <col min="8" max="8" width="43" style="1" bestFit="1" customWidth="1"/>
    <col min="9" max="9" width="1.42578125" style="2" customWidth="1"/>
    <col min="10" max="16384" width="8" style="1" hidden="1"/>
  </cols>
  <sheetData>
    <row r="1" spans="1:8" ht="6" customHeight="1">
      <c r="A1" s="2"/>
      <c r="B1" s="2"/>
    </row>
    <row r="2" spans="1:8" ht="43.5" customHeight="1">
      <c r="A2" s="2"/>
      <c r="B2" s="41" t="s">
        <v>129</v>
      </c>
      <c r="C2" s="40" t="s">
        <v>130</v>
      </c>
      <c r="D2" s="39" t="s">
        <v>131</v>
      </c>
      <c r="E2" s="39" t="s">
        <v>132</v>
      </c>
      <c r="F2" s="39" t="s">
        <v>133</v>
      </c>
      <c r="G2" s="39" t="s">
        <v>134</v>
      </c>
      <c r="H2" s="39" t="s">
        <v>135</v>
      </c>
    </row>
    <row r="3" spans="1:8" ht="108.75" customHeight="1">
      <c r="A3" s="2"/>
      <c r="B3" s="35" t="s">
        <v>136</v>
      </c>
      <c r="C3" s="34" t="s">
        <v>30</v>
      </c>
      <c r="D3" s="33" t="s">
        <v>137</v>
      </c>
      <c r="E3" s="38" t="s">
        <v>138</v>
      </c>
      <c r="F3" s="33" t="s">
        <v>139</v>
      </c>
      <c r="G3" s="33" t="s">
        <v>140</v>
      </c>
      <c r="H3" s="33" t="s">
        <v>141</v>
      </c>
    </row>
    <row r="4" spans="1:8" ht="119.25" customHeight="1">
      <c r="A4" s="2"/>
      <c r="B4" s="35" t="s">
        <v>101</v>
      </c>
      <c r="C4" s="34" t="s">
        <v>29</v>
      </c>
      <c r="D4" s="33" t="s">
        <v>142</v>
      </c>
      <c r="E4" s="33" t="s">
        <v>143</v>
      </c>
      <c r="F4" s="33" t="s">
        <v>144</v>
      </c>
      <c r="G4" s="33" t="s">
        <v>145</v>
      </c>
      <c r="H4" s="33" t="s">
        <v>146</v>
      </c>
    </row>
    <row r="5" spans="1:8" ht="119.25" customHeight="1">
      <c r="A5" s="2"/>
      <c r="B5" s="310" t="s">
        <v>147</v>
      </c>
      <c r="C5" s="36" t="s">
        <v>28</v>
      </c>
      <c r="D5" s="33" t="s">
        <v>148</v>
      </c>
      <c r="E5" s="33" t="s">
        <v>149</v>
      </c>
      <c r="F5" s="37" t="s">
        <v>150</v>
      </c>
      <c r="G5" s="33" t="s">
        <v>151</v>
      </c>
      <c r="H5" s="33" t="s">
        <v>152</v>
      </c>
    </row>
    <row r="6" spans="1:8" ht="107.25" customHeight="1">
      <c r="A6" s="2"/>
      <c r="B6" s="311"/>
      <c r="C6" s="36" t="s">
        <v>27</v>
      </c>
      <c r="D6" s="33" t="s">
        <v>153</v>
      </c>
      <c r="E6" s="33" t="s">
        <v>154</v>
      </c>
      <c r="F6" s="33" t="s">
        <v>155</v>
      </c>
      <c r="G6" s="33" t="s">
        <v>156</v>
      </c>
      <c r="H6" s="33" t="s">
        <v>157</v>
      </c>
    </row>
    <row r="7" spans="1:8" ht="108" customHeight="1">
      <c r="A7" s="2"/>
      <c r="B7" s="35" t="s">
        <v>158</v>
      </c>
      <c r="C7" s="34" t="s">
        <v>26</v>
      </c>
      <c r="D7" s="33" t="s">
        <v>159</v>
      </c>
      <c r="E7" s="33" t="s">
        <v>160</v>
      </c>
      <c r="F7" s="33" t="s">
        <v>161</v>
      </c>
      <c r="G7" s="33" t="s">
        <v>162</v>
      </c>
      <c r="H7" s="33" t="s">
        <v>163</v>
      </c>
    </row>
    <row r="8" spans="1:8" ht="9.75" customHeight="1">
      <c r="A8" s="2"/>
      <c r="B8" s="2"/>
      <c r="C8" s="2"/>
      <c r="D8" s="2"/>
      <c r="E8" s="2"/>
      <c r="F8" s="2"/>
      <c r="G8" s="2"/>
      <c r="H8" s="2"/>
    </row>
    <row r="9" spans="1:8" hidden="1">
      <c r="C9" s="2"/>
      <c r="D9" s="2"/>
      <c r="E9" s="2"/>
      <c r="F9" s="2"/>
      <c r="G9" s="2"/>
      <c r="H9" s="2"/>
    </row>
  </sheetData>
  <mergeCells count="1">
    <mergeCell ref="B5:B6"/>
  </mergeCells>
  <pageMargins left="0.25" right="0.25" top="0.47812500000000002" bottom="0.75" header="0.3" footer="0.3"/>
  <pageSetup paperSize="9" scale="54" fitToHeight="0" orientation="landscape" r:id="rId1"/>
  <headerFooter>
    <oddHeader>&amp;L&amp;"Gotham Rounded Book,Regular"FC-GL-EHS-MAN-0501-F3 (Issue 4) - Severity Guidance</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C04EB-43D4-458C-8A21-29106B2B0FA6}">
  <sheetPr codeName="Sheet1"/>
  <dimension ref="A1:F35"/>
  <sheetViews>
    <sheetView zoomScale="120" zoomScaleNormal="120" workbookViewId="0">
      <selection activeCell="C12" sqref="C12:D12"/>
    </sheetView>
  </sheetViews>
  <sheetFormatPr defaultColWidth="0" defaultRowHeight="14.45"/>
  <cols>
    <col min="1" max="1" width="21.5703125" style="18" customWidth="1"/>
    <col min="2" max="2" width="26.85546875" style="18" customWidth="1"/>
    <col min="3" max="3" width="24.85546875" style="18" customWidth="1"/>
    <col min="4" max="4" width="28.5703125" style="18" customWidth="1"/>
    <col min="5" max="5" width="27" style="18" customWidth="1"/>
    <col min="6" max="6" width="5.5703125" style="19" customWidth="1"/>
    <col min="7" max="16384" width="8" style="18" hidden="1"/>
  </cols>
  <sheetData>
    <row r="1" spans="1:5" ht="15" thickBot="1">
      <c r="A1" s="51" t="s">
        <v>164</v>
      </c>
    </row>
    <row r="2" spans="1:5" ht="15" thickBot="1">
      <c r="A2" s="29"/>
      <c r="B2" s="32" t="s">
        <v>165</v>
      </c>
      <c r="C2" s="31" t="s">
        <v>20</v>
      </c>
      <c r="D2" s="30" t="s">
        <v>21</v>
      </c>
      <c r="E2" s="31" t="s">
        <v>166</v>
      </c>
    </row>
    <row r="3" spans="1:5" ht="15" thickBot="1">
      <c r="A3" s="29" t="s">
        <v>167</v>
      </c>
      <c r="B3" s="28" t="s">
        <v>168</v>
      </c>
      <c r="C3" s="24">
        <f>VLOOKUP(B3,Hazard_Defense_Code!A1:C77,2,0)</f>
        <v>3</v>
      </c>
      <c r="D3" s="24">
        <f>VLOOKUP(B3,Hazard_Defense_Code!A1:C77,3,0)</f>
        <v>4</v>
      </c>
      <c r="E3" s="24">
        <f t="shared" ref="E3:E9" si="0">C3+D3-1</f>
        <v>6</v>
      </c>
    </row>
    <row r="4" spans="1:5" ht="15" thickBot="1">
      <c r="A4" s="47" t="s">
        <v>169</v>
      </c>
      <c r="B4" s="28" t="s">
        <v>170</v>
      </c>
      <c r="C4" s="24">
        <f>VLOOKUP(B4,Hazard_Defense_Code!A1:C77,2,0)</f>
        <v>2</v>
      </c>
      <c r="D4" s="24">
        <f>VLOOKUP(B4,Hazard_Defense_Code!A1:C77,3,0)</f>
        <v>4</v>
      </c>
      <c r="E4" s="24">
        <f t="shared" si="0"/>
        <v>5</v>
      </c>
    </row>
    <row r="5" spans="1:5" ht="15" thickBot="1">
      <c r="A5" s="47" t="s">
        <v>171</v>
      </c>
      <c r="B5" s="28" t="s">
        <v>172</v>
      </c>
      <c r="C5" s="24">
        <f>VLOOKUP(B5,Hazard_Defense_Code!A1:C77,2,0)</f>
        <v>2</v>
      </c>
      <c r="D5" s="24">
        <f>VLOOKUP(B5,Hazard_Defense_Code!A1:C77,3,0)</f>
        <v>4</v>
      </c>
      <c r="E5" s="24">
        <f t="shared" si="0"/>
        <v>5</v>
      </c>
    </row>
    <row r="6" spans="1:5" ht="15" thickBot="1">
      <c r="A6" s="48" t="s">
        <v>173</v>
      </c>
      <c r="B6" s="28" t="s">
        <v>174</v>
      </c>
      <c r="C6" s="24">
        <f>VLOOKUP(B6,Hazard_Defense_Code!A1:C77,2,0)</f>
        <v>1</v>
      </c>
      <c r="D6" s="24">
        <f>VLOOKUP(B6,Hazard_Defense_Code!A1:C77,3,0)</f>
        <v>5</v>
      </c>
      <c r="E6" s="24">
        <f t="shared" si="0"/>
        <v>5</v>
      </c>
    </row>
    <row r="7" spans="1:5" ht="14.25" hidden="1" customHeight="1" thickBot="1">
      <c r="A7" s="27"/>
      <c r="B7" s="28" t="s">
        <v>175</v>
      </c>
      <c r="C7" s="26">
        <f>MAX(C3:C6)</f>
        <v>3</v>
      </c>
      <c r="D7" s="26">
        <f>MAX(D3:D6)</f>
        <v>5</v>
      </c>
      <c r="E7" s="24">
        <f t="shared" si="0"/>
        <v>7</v>
      </c>
    </row>
    <row r="8" spans="1:5" ht="30.75" hidden="1" customHeight="1" thickBot="1">
      <c r="B8" s="28" t="s">
        <v>175</v>
      </c>
      <c r="C8" s="25">
        <f>MEDIAN(C3:C6)</f>
        <v>2</v>
      </c>
      <c r="D8" s="25">
        <f>MEDIAN(D3:D6)</f>
        <v>4</v>
      </c>
      <c r="E8" s="24">
        <f t="shared" si="0"/>
        <v>5</v>
      </c>
    </row>
    <row r="9" spans="1:5" ht="15" thickBot="1">
      <c r="A9" s="316" t="s">
        <v>176</v>
      </c>
      <c r="B9" s="317"/>
      <c r="C9" s="23">
        <f>AVERAGE(C7:C8)</f>
        <v>2.5</v>
      </c>
      <c r="D9" s="22">
        <f>AVERAGE(D7:D8)</f>
        <v>4.5</v>
      </c>
      <c r="E9" s="23">
        <f t="shared" si="0"/>
        <v>6</v>
      </c>
    </row>
    <row r="10" spans="1:5" s="19" customFormat="1" ht="15" thickBot="1"/>
    <row r="11" spans="1:5" s="19" customFormat="1" ht="15" thickBot="1">
      <c r="A11" s="51" t="s">
        <v>177</v>
      </c>
    </row>
    <row r="12" spans="1:5" ht="34.5" customHeight="1" thickBot="1">
      <c r="A12" s="49" t="s">
        <v>167</v>
      </c>
      <c r="B12" s="21" t="s">
        <v>168</v>
      </c>
      <c r="C12" s="318" t="str">
        <f>VLOOKUP(B12,Hazard_Defense_Code!A1:E78,5,FALSE)</f>
        <v>Lift Plans &amp; POWLA (P&amp;S Plan Tab V) should be in place and communicated before commencing lifting operations</v>
      </c>
      <c r="D12" s="319"/>
      <c r="E12" s="19"/>
    </row>
    <row r="13" spans="1:5" ht="34.5" customHeight="1" thickBot="1">
      <c r="A13" s="49" t="s">
        <v>169</v>
      </c>
      <c r="B13" s="21" t="s">
        <v>172</v>
      </c>
      <c r="C13" s="318" t="str">
        <f>VLOOKUP(B13,Hazard_Defense_Code!A1:E77,5,FALSE)</f>
        <v>POWRA (P&amp;S Plan Tab S) should be used to mitigate risk from pinch point and line of fire hazards.  Peering checking, tool holders and careful hand/body part placement should be deployed continuously where risk exists.</v>
      </c>
      <c r="D13" s="319"/>
      <c r="E13" s="19"/>
    </row>
    <row r="14" spans="1:5" ht="34.5" customHeight="1" thickBot="1">
      <c r="A14" s="49" t="s">
        <v>171</v>
      </c>
      <c r="B14" s="21" t="s">
        <v>178</v>
      </c>
      <c r="C14" s="318" t="str">
        <f>VLOOKUP(B14,Hazard_Defense_Code!A1:E77,5,FALSE)</f>
        <v>Where a secure certified (e.g. Scaff tag) elevated work platform cannot be put in place then a safety harness with 100% tie-off to a secure structure must be used.</v>
      </c>
      <c r="D14" s="319"/>
      <c r="E14" s="19"/>
    </row>
    <row r="15" spans="1:5" ht="34.5" customHeight="1" thickBot="1">
      <c r="A15" s="50" t="s">
        <v>173</v>
      </c>
      <c r="B15" s="49" t="s">
        <v>178</v>
      </c>
      <c r="C15" s="318" t="str">
        <f>VLOOKUP(B15,Hazard_Defense_Code!A1:E77,5,FALSE)</f>
        <v>Where a secure certified (e.g. Scaff tag) elevated work platform cannot be put in place then a safety harness with 100% tie-off to a secure structure must be used.</v>
      </c>
      <c r="D15" s="319"/>
      <c r="E15" s="19"/>
    </row>
    <row r="16" spans="1:5">
      <c r="A16" s="19"/>
      <c r="B16" s="19"/>
      <c r="C16" s="19"/>
      <c r="D16" s="19"/>
      <c r="E16" s="19"/>
    </row>
    <row r="17" spans="1:5">
      <c r="A17" s="19"/>
      <c r="B17" s="19"/>
      <c r="C17" s="19"/>
      <c r="D17" s="19"/>
      <c r="E17" s="19"/>
    </row>
    <row r="18" spans="1:5">
      <c r="A18" s="19"/>
      <c r="B18" s="19"/>
      <c r="C18" s="52"/>
      <c r="D18" s="52"/>
      <c r="E18" s="20"/>
    </row>
    <row r="19" spans="1:5">
      <c r="A19" s="19"/>
      <c r="B19" s="19"/>
      <c r="C19" s="19"/>
      <c r="D19" s="19"/>
      <c r="E19" s="19"/>
    </row>
    <row r="20" spans="1:5">
      <c r="A20" s="19"/>
      <c r="B20" s="19"/>
      <c r="C20" s="19"/>
      <c r="D20" s="19"/>
      <c r="E20" s="19"/>
    </row>
    <row r="21" spans="1:5">
      <c r="A21" s="19"/>
      <c r="B21" s="19"/>
      <c r="C21" s="19"/>
      <c r="D21" s="19"/>
    </row>
    <row r="22" spans="1:5">
      <c r="A22" s="19"/>
      <c r="B22" s="19"/>
      <c r="C22" s="19"/>
      <c r="D22" s="19"/>
      <c r="E22" s="19"/>
    </row>
    <row r="23" spans="1:5">
      <c r="A23" s="19"/>
      <c r="B23" s="19"/>
      <c r="C23" s="19"/>
      <c r="D23" s="19"/>
      <c r="E23" s="19"/>
    </row>
    <row r="24" spans="1:5">
      <c r="A24" s="19"/>
      <c r="B24" s="19"/>
      <c r="C24" s="19"/>
      <c r="D24" s="19"/>
      <c r="E24" s="19"/>
    </row>
    <row r="25" spans="1:5">
      <c r="A25" s="19"/>
      <c r="B25" s="19"/>
      <c r="C25" s="19"/>
      <c r="D25" s="19"/>
      <c r="E25" s="19"/>
    </row>
    <row r="26" spans="1:5">
      <c r="A26" s="19"/>
      <c r="B26" s="19"/>
      <c r="C26" s="19"/>
      <c r="D26" s="19"/>
      <c r="E26" s="19"/>
    </row>
    <row r="27" spans="1:5">
      <c r="A27" s="19"/>
      <c r="B27" s="19"/>
      <c r="C27" s="19"/>
      <c r="D27" s="19"/>
      <c r="E27" s="19"/>
    </row>
    <row r="28" spans="1:5">
      <c r="A28" s="19"/>
      <c r="B28" s="19"/>
      <c r="C28" s="19"/>
      <c r="D28" s="19"/>
      <c r="E28" s="19"/>
    </row>
    <row r="29" spans="1:5">
      <c r="A29" s="19"/>
      <c r="B29" s="19"/>
      <c r="C29" s="19"/>
      <c r="D29" s="19"/>
      <c r="E29" s="19"/>
    </row>
    <row r="30" spans="1:5">
      <c r="A30" s="19"/>
      <c r="B30" s="19"/>
      <c r="C30" s="19"/>
      <c r="D30" s="19"/>
      <c r="E30" s="19"/>
    </row>
    <row r="31" spans="1:5">
      <c r="A31" s="19"/>
      <c r="B31" s="19"/>
      <c r="C31" s="19"/>
      <c r="D31" s="19"/>
      <c r="E31" s="19"/>
    </row>
    <row r="32" spans="1:5">
      <c r="A32" s="19"/>
      <c r="B32" s="19"/>
      <c r="C32" s="19"/>
      <c r="D32" s="19"/>
      <c r="E32" s="19"/>
    </row>
    <row r="33" spans="1:5">
      <c r="A33" s="19"/>
      <c r="B33" s="19"/>
      <c r="C33" s="19"/>
      <c r="D33" s="19"/>
      <c r="E33" s="19"/>
    </row>
    <row r="34" spans="1:5">
      <c r="A34" s="19"/>
      <c r="B34" s="19"/>
      <c r="C34" s="19"/>
      <c r="D34" s="19"/>
      <c r="E34" s="19"/>
    </row>
    <row r="35" spans="1:5">
      <c r="A35" s="19"/>
      <c r="B35" s="19"/>
      <c r="C35" s="19"/>
      <c r="D35" s="19"/>
      <c r="E35" s="19"/>
    </row>
  </sheetData>
  <mergeCells count="5">
    <mergeCell ref="A9:B9"/>
    <mergeCell ref="C12:D12"/>
    <mergeCell ref="C13:D13"/>
    <mergeCell ref="C14:D14"/>
    <mergeCell ref="C15:D15"/>
  </mergeCells>
  <conditionalFormatting sqref="E3:E9">
    <cfRule type="cellIs" dxfId="91" priority="1" stopIfTrue="1" operator="between">
      <formula>3.1</formula>
      <formula>5.9</formula>
    </cfRule>
    <cfRule type="cellIs" dxfId="90" priority="2" operator="greaterThan">
      <formula>5</formula>
    </cfRule>
    <cfRule type="cellIs" dxfId="89" priority="3" operator="between">
      <formula>1</formula>
      <formula>3</formula>
    </cfRule>
  </conditionalFormatting>
  <dataValidations count="1">
    <dataValidation type="list" allowBlank="1" showInputMessage="1" showErrorMessage="1" sqref="B10:B11" xr:uid="{3ED049BC-9F64-475A-B175-6D9478AFCD77}">
      <formula1>$A$4:$A$49</formula1>
    </dataValidation>
  </dataValidations>
  <pageMargins left="0.7" right="0.7" top="0.75" bottom="0.75" header="0.3" footer="0.3"/>
  <pageSetup paperSize="9" orientation="portrait" r:id="rId1"/>
  <headerFooter>
    <oddHeader>&amp;L&amp;"Gotham Rounded Book,Regular"FC-GL-EHS-MAN-0501-F3 (Issue 4) - Risk Calculator</oddHeader>
  </headerFooter>
  <extLst>
    <ext xmlns:x14="http://schemas.microsoft.com/office/spreadsheetml/2009/9/main" uri="{CCE6A557-97BC-4b89-ADB6-D9C93CAAB3DF}">
      <x14:dataValidations xmlns:xm="http://schemas.microsoft.com/office/excel/2006/main" count="1">
        <x14:dataValidation type="list" allowBlank="1" showInputMessage="1" showErrorMessage="1" xr:uid="{AF348DF7-9EAC-4620-89AD-6C62658A460A}">
          <x14:formula1>
            <xm:f>Hazard_Defense_Code!$A$2:$A$73</xm:f>
          </x14:formula1>
          <xm:sqref>B12:B15 B3:B8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A362F4-ADE8-4DFF-9F7C-FE7168AA5F2D}">
  <sheetPr codeName="Sheet3"/>
  <dimension ref="A1:M13"/>
  <sheetViews>
    <sheetView workbookViewId="0">
      <selection activeCell="F12" sqref="F12"/>
    </sheetView>
  </sheetViews>
  <sheetFormatPr defaultColWidth="0" defaultRowHeight="12.95" zeroHeight="1"/>
  <cols>
    <col min="1" max="13" width="8" style="42" customWidth="1"/>
    <col min="14" max="16384" width="8" style="42" hidden="1"/>
  </cols>
  <sheetData>
    <row r="1" spans="1:13">
      <c r="A1" s="43"/>
      <c r="B1" s="43"/>
      <c r="C1" s="43"/>
      <c r="D1" s="43"/>
      <c r="E1" s="43"/>
      <c r="F1" s="43"/>
      <c r="G1" s="43"/>
      <c r="H1" s="43"/>
      <c r="I1" s="43"/>
      <c r="J1" s="43"/>
      <c r="K1" s="43"/>
      <c r="L1" s="43"/>
      <c r="M1" s="43"/>
    </row>
    <row r="2" spans="1:13" ht="21" customHeight="1">
      <c r="A2" s="43"/>
      <c r="B2" s="44" t="s">
        <v>179</v>
      </c>
      <c r="C2" s="43"/>
      <c r="D2" s="43"/>
      <c r="E2" s="43"/>
      <c r="F2" s="43"/>
      <c r="G2" s="43"/>
      <c r="H2" s="43"/>
      <c r="I2" s="43"/>
      <c r="J2" s="43"/>
      <c r="K2" s="43"/>
      <c r="L2" s="43"/>
      <c r="M2" s="43"/>
    </row>
    <row r="3" spans="1:13" ht="12.75" customHeight="1">
      <c r="A3" s="43"/>
      <c r="B3" s="320" t="s">
        <v>180</v>
      </c>
      <c r="C3" s="320"/>
      <c r="D3" s="320"/>
      <c r="E3" s="320"/>
      <c r="F3" s="320"/>
      <c r="G3" s="320"/>
      <c r="H3" s="320"/>
      <c r="I3" s="320"/>
      <c r="J3" s="320"/>
      <c r="K3" s="320"/>
      <c r="L3" s="43"/>
      <c r="M3" s="43"/>
    </row>
    <row r="4" spans="1:13">
      <c r="A4" s="43"/>
      <c r="B4" s="320"/>
      <c r="C4" s="320"/>
      <c r="D4" s="320"/>
      <c r="E4" s="320"/>
      <c r="F4" s="320"/>
      <c r="G4" s="320"/>
      <c r="H4" s="320"/>
      <c r="I4" s="320"/>
      <c r="J4" s="320"/>
      <c r="K4" s="320"/>
      <c r="L4" s="43"/>
      <c r="M4" s="43"/>
    </row>
    <row r="5" spans="1:13">
      <c r="A5" s="43"/>
      <c r="B5" s="320"/>
      <c r="C5" s="320"/>
      <c r="D5" s="320"/>
      <c r="E5" s="320"/>
      <c r="F5" s="320"/>
      <c r="G5" s="320"/>
      <c r="H5" s="320"/>
      <c r="I5" s="320"/>
      <c r="J5" s="320"/>
      <c r="K5" s="320"/>
      <c r="L5" s="43"/>
      <c r="M5" s="43"/>
    </row>
    <row r="6" spans="1:13">
      <c r="A6" s="43"/>
      <c r="B6" s="320"/>
      <c r="C6" s="320"/>
      <c r="D6" s="320"/>
      <c r="E6" s="320"/>
      <c r="F6" s="320"/>
      <c r="G6" s="320"/>
      <c r="H6" s="320"/>
      <c r="I6" s="320"/>
      <c r="J6" s="320"/>
      <c r="K6" s="320"/>
      <c r="L6" s="43"/>
      <c r="M6" s="43"/>
    </row>
    <row r="7" spans="1:13">
      <c r="A7" s="43"/>
      <c r="B7" s="320"/>
      <c r="C7" s="320"/>
      <c r="D7" s="320"/>
      <c r="E7" s="320"/>
      <c r="F7" s="320"/>
      <c r="G7" s="320"/>
      <c r="H7" s="320"/>
      <c r="I7" s="320"/>
      <c r="J7" s="320"/>
      <c r="K7" s="320"/>
      <c r="L7" s="43"/>
      <c r="M7" s="43"/>
    </row>
    <row r="8" spans="1:13">
      <c r="A8" s="43"/>
      <c r="B8" s="320"/>
      <c r="C8" s="320"/>
      <c r="D8" s="320"/>
      <c r="E8" s="320"/>
      <c r="F8" s="320"/>
      <c r="G8" s="320"/>
      <c r="H8" s="320"/>
      <c r="I8" s="320"/>
      <c r="J8" s="320"/>
      <c r="K8" s="320"/>
      <c r="L8" s="43"/>
      <c r="M8" s="43"/>
    </row>
    <row r="9" spans="1:13">
      <c r="A9" s="43"/>
      <c r="B9" s="320"/>
      <c r="C9" s="320"/>
      <c r="D9" s="320"/>
      <c r="E9" s="320"/>
      <c r="F9" s="320"/>
      <c r="G9" s="320"/>
      <c r="H9" s="320"/>
      <c r="I9" s="320"/>
      <c r="J9" s="320"/>
      <c r="K9" s="320"/>
      <c r="L9" s="43"/>
      <c r="M9" s="43"/>
    </row>
    <row r="10" spans="1:13" ht="33" customHeight="1">
      <c r="A10" s="43"/>
      <c r="B10" s="320"/>
      <c r="C10" s="320"/>
      <c r="D10" s="320"/>
      <c r="E10" s="320"/>
      <c r="F10" s="320"/>
      <c r="G10" s="320"/>
      <c r="H10" s="320"/>
      <c r="I10" s="320"/>
      <c r="J10" s="320"/>
      <c r="K10" s="320"/>
      <c r="L10" s="43"/>
      <c r="M10" s="43"/>
    </row>
    <row r="11" spans="1:13">
      <c r="A11" s="43"/>
      <c r="B11" s="43"/>
      <c r="C11" s="43"/>
      <c r="D11" s="43"/>
      <c r="E11" s="43"/>
      <c r="F11" s="43"/>
      <c r="G11" s="43"/>
      <c r="H11" s="43"/>
      <c r="I11" s="43"/>
      <c r="J11" s="43"/>
      <c r="K11" s="43"/>
      <c r="L11" s="43"/>
      <c r="M11" s="43"/>
    </row>
    <row r="12" spans="1:13">
      <c r="A12" s="43"/>
      <c r="B12" s="43"/>
      <c r="C12" s="43"/>
      <c r="D12" s="43"/>
      <c r="E12" s="43"/>
      <c r="F12" s="43"/>
      <c r="G12" s="43"/>
      <c r="H12" s="43"/>
      <c r="I12" s="43"/>
      <c r="J12" s="43"/>
      <c r="K12" s="43"/>
      <c r="L12" s="43"/>
      <c r="M12" s="43"/>
    </row>
    <row r="13" spans="1:13">
      <c r="A13" s="43"/>
      <c r="B13" s="43"/>
      <c r="C13" s="43"/>
      <c r="D13" s="43"/>
      <c r="E13" s="43"/>
      <c r="F13" s="43"/>
      <c r="G13" s="43"/>
      <c r="H13" s="43"/>
      <c r="I13" s="43"/>
      <c r="J13" s="43"/>
      <c r="K13" s="43"/>
      <c r="L13" s="43"/>
      <c r="M13" s="43"/>
    </row>
  </sheetData>
  <mergeCells count="1">
    <mergeCell ref="B3:K10"/>
  </mergeCells>
  <pageMargins left="0.7" right="0.7" top="0.75" bottom="0.75" header="0.3" footer="0.3"/>
  <pageSetup paperSize="9" orientation="portrait" horizontalDpi="4294967292"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2A7C73-2635-4C48-8EA9-B5AE2A69E998}">
  <sheetPr codeName="Sheet21"/>
  <dimension ref="A1:Q195"/>
  <sheetViews>
    <sheetView topLeftCell="A7" workbookViewId="0">
      <selection activeCell="C21" sqref="C21"/>
    </sheetView>
  </sheetViews>
  <sheetFormatPr defaultColWidth="9.140625" defaultRowHeight="15"/>
  <cols>
    <col min="1" max="1" width="52" style="91" customWidth="1"/>
    <col min="2" max="4" width="24.28515625" style="91" customWidth="1"/>
    <col min="5" max="5" width="81.85546875" style="93" customWidth="1"/>
    <col min="6" max="9" width="9.140625" style="91"/>
    <col min="10" max="10" width="29.140625" style="91" customWidth="1"/>
    <col min="11" max="11" width="39.42578125" style="91" customWidth="1"/>
    <col min="12" max="14" width="53.28515625" style="91" customWidth="1"/>
    <col min="15" max="15" width="38.7109375" style="91" customWidth="1"/>
    <col min="16" max="16" width="42.85546875" style="91" customWidth="1"/>
    <col min="17" max="17" width="34.5703125" style="91" customWidth="1"/>
    <col min="18" max="16384" width="9.140625" style="91"/>
  </cols>
  <sheetData>
    <row r="1" spans="1:17">
      <c r="A1" s="84" t="s">
        <v>181</v>
      </c>
      <c r="B1" s="89" t="s">
        <v>20</v>
      </c>
      <c r="C1" s="89" t="s">
        <v>21</v>
      </c>
      <c r="D1" s="89" t="s">
        <v>182</v>
      </c>
      <c r="E1" s="90" t="s">
        <v>183</v>
      </c>
      <c r="F1" s="85">
        <v>5</v>
      </c>
      <c r="J1" s="92"/>
      <c r="K1" s="92"/>
      <c r="L1" s="92"/>
      <c r="M1" s="92"/>
      <c r="N1" s="92" t="s">
        <v>184</v>
      </c>
      <c r="O1" s="92" t="s">
        <v>185</v>
      </c>
      <c r="P1" s="92" t="s">
        <v>186</v>
      </c>
      <c r="Q1" s="92" t="s">
        <v>187</v>
      </c>
    </row>
    <row r="2" spans="1:17">
      <c r="A2" s="89" t="s">
        <v>175</v>
      </c>
      <c r="B2" s="89">
        <v>1</v>
      </c>
      <c r="C2" s="89">
        <v>0</v>
      </c>
      <c r="D2" s="89">
        <f t="shared" ref="D2:D59" si="0">B2+C2-1</f>
        <v>0</v>
      </c>
      <c r="E2" s="90"/>
      <c r="F2" s="85">
        <v>4</v>
      </c>
    </row>
    <row r="3" spans="1:17">
      <c r="A3" s="89" t="s">
        <v>188</v>
      </c>
      <c r="B3" s="89">
        <v>2</v>
      </c>
      <c r="C3" s="89">
        <v>3</v>
      </c>
      <c r="D3" s="89">
        <f t="shared" si="0"/>
        <v>4</v>
      </c>
      <c r="E3" s="90" t="s">
        <v>189</v>
      </c>
      <c r="F3" s="85">
        <v>3</v>
      </c>
    </row>
    <row r="4" spans="1:17">
      <c r="A4" s="89" t="s">
        <v>190</v>
      </c>
      <c r="B4" s="89">
        <v>2</v>
      </c>
      <c r="C4" s="89">
        <v>2</v>
      </c>
      <c r="D4" s="89">
        <f t="shared" si="0"/>
        <v>3</v>
      </c>
      <c r="E4" s="90" t="s">
        <v>191</v>
      </c>
      <c r="F4" s="85">
        <v>2</v>
      </c>
    </row>
    <row r="5" spans="1:17" ht="30">
      <c r="A5" s="95" t="s">
        <v>192</v>
      </c>
      <c r="B5" s="89">
        <v>4</v>
      </c>
      <c r="C5" s="89">
        <v>1</v>
      </c>
      <c r="D5" s="89">
        <f t="shared" si="0"/>
        <v>4</v>
      </c>
      <c r="E5" s="90" t="s">
        <v>193</v>
      </c>
      <c r="F5" s="85">
        <v>1</v>
      </c>
    </row>
    <row r="6" spans="1:17">
      <c r="A6" s="89" t="s">
        <v>194</v>
      </c>
      <c r="B6" s="89">
        <v>4</v>
      </c>
      <c r="C6" s="89">
        <v>1</v>
      </c>
      <c r="D6" s="89">
        <f t="shared" si="0"/>
        <v>4</v>
      </c>
      <c r="E6" s="90" t="s">
        <v>195</v>
      </c>
      <c r="F6" s="86"/>
    </row>
    <row r="7" spans="1:17" ht="30">
      <c r="A7" s="89" t="s">
        <v>196</v>
      </c>
      <c r="B7" s="89">
        <v>3</v>
      </c>
      <c r="C7" s="89">
        <v>3</v>
      </c>
      <c r="D7" s="89">
        <f t="shared" si="0"/>
        <v>5</v>
      </c>
      <c r="E7" s="90" t="s">
        <v>197</v>
      </c>
      <c r="F7" s="86"/>
    </row>
    <row r="8" spans="1:17" ht="45">
      <c r="A8" s="89" t="s">
        <v>198</v>
      </c>
      <c r="B8" s="89">
        <v>4</v>
      </c>
      <c r="C8" s="89">
        <v>3</v>
      </c>
      <c r="D8" s="89">
        <f t="shared" si="0"/>
        <v>6</v>
      </c>
      <c r="E8" s="90" t="s">
        <v>199</v>
      </c>
      <c r="F8" s="86"/>
    </row>
    <row r="9" spans="1:17">
      <c r="A9" s="89" t="s">
        <v>200</v>
      </c>
      <c r="B9" s="89">
        <v>4</v>
      </c>
      <c r="C9" s="89">
        <v>4</v>
      </c>
      <c r="D9" s="89">
        <f t="shared" si="0"/>
        <v>7</v>
      </c>
      <c r="E9" s="90"/>
      <c r="F9" s="86"/>
    </row>
    <row r="10" spans="1:17" ht="45">
      <c r="A10" s="89" t="s">
        <v>201</v>
      </c>
      <c r="B10" s="89">
        <v>1</v>
      </c>
      <c r="C10" s="89">
        <v>5</v>
      </c>
      <c r="D10" s="89">
        <f t="shared" si="0"/>
        <v>5</v>
      </c>
      <c r="E10" s="90" t="s">
        <v>202</v>
      </c>
      <c r="F10" s="86"/>
    </row>
    <row r="11" spans="1:17" ht="30">
      <c r="A11" s="89" t="s">
        <v>203</v>
      </c>
      <c r="B11" s="89">
        <v>2</v>
      </c>
      <c r="C11" s="89">
        <v>4</v>
      </c>
      <c r="D11" s="89">
        <f t="shared" si="0"/>
        <v>5</v>
      </c>
      <c r="E11" s="90" t="s">
        <v>204</v>
      </c>
      <c r="F11" s="86"/>
    </row>
    <row r="12" spans="1:17" ht="30">
      <c r="A12" s="89" t="s">
        <v>205</v>
      </c>
      <c r="B12" s="89">
        <v>4</v>
      </c>
      <c r="C12" s="89">
        <v>3</v>
      </c>
      <c r="D12" s="89">
        <f t="shared" si="0"/>
        <v>6</v>
      </c>
      <c r="E12" s="90" t="s">
        <v>206</v>
      </c>
      <c r="F12" s="86"/>
    </row>
    <row r="13" spans="1:17">
      <c r="A13" s="89" t="s">
        <v>207</v>
      </c>
      <c r="B13" s="89">
        <v>2</v>
      </c>
      <c r="C13" s="89">
        <v>1</v>
      </c>
      <c r="D13" s="89">
        <f t="shared" si="0"/>
        <v>2</v>
      </c>
      <c r="E13" s="90" t="s">
        <v>208</v>
      </c>
      <c r="F13" s="86"/>
    </row>
    <row r="14" spans="1:17">
      <c r="A14" s="89" t="s">
        <v>209</v>
      </c>
      <c r="B14" s="89">
        <v>3</v>
      </c>
      <c r="C14" s="89">
        <v>3</v>
      </c>
      <c r="D14" s="89">
        <f t="shared" si="0"/>
        <v>5</v>
      </c>
      <c r="E14" s="90" t="s">
        <v>210</v>
      </c>
      <c r="F14" s="86"/>
    </row>
    <row r="15" spans="1:17" ht="30">
      <c r="A15" s="89" t="s">
        <v>211</v>
      </c>
      <c r="B15" s="89">
        <v>2</v>
      </c>
      <c r="C15" s="89">
        <v>4</v>
      </c>
      <c r="D15" s="89">
        <f t="shared" si="0"/>
        <v>5</v>
      </c>
      <c r="E15" s="90" t="s">
        <v>212</v>
      </c>
      <c r="F15" s="86"/>
    </row>
    <row r="16" spans="1:17" ht="30">
      <c r="A16" s="89" t="s">
        <v>213</v>
      </c>
      <c r="B16" s="89">
        <v>5</v>
      </c>
      <c r="C16" s="89">
        <v>1</v>
      </c>
      <c r="D16" s="89">
        <f t="shared" si="0"/>
        <v>5</v>
      </c>
      <c r="E16" s="90" t="s">
        <v>214</v>
      </c>
      <c r="F16" s="86"/>
    </row>
    <row r="17" spans="1:6">
      <c r="A17" s="89" t="s">
        <v>215</v>
      </c>
      <c r="B17" s="89">
        <v>3</v>
      </c>
      <c r="C17" s="89">
        <v>1</v>
      </c>
      <c r="D17" s="89">
        <f t="shared" si="0"/>
        <v>3</v>
      </c>
      <c r="E17" s="90" t="s">
        <v>216</v>
      </c>
      <c r="F17" s="86"/>
    </row>
    <row r="18" spans="1:6" ht="30">
      <c r="A18" s="89" t="s">
        <v>217</v>
      </c>
      <c r="B18" s="89">
        <v>1</v>
      </c>
      <c r="C18" s="89">
        <v>3</v>
      </c>
      <c r="D18" s="89">
        <f t="shared" si="0"/>
        <v>3</v>
      </c>
      <c r="E18" s="90" t="s">
        <v>218</v>
      </c>
      <c r="F18" s="86"/>
    </row>
    <row r="19" spans="1:6">
      <c r="A19" s="89" t="s">
        <v>219</v>
      </c>
      <c r="B19" s="89">
        <v>3</v>
      </c>
      <c r="C19" s="89">
        <v>2</v>
      </c>
      <c r="D19" s="89">
        <f t="shared" si="0"/>
        <v>4</v>
      </c>
      <c r="E19" s="90" t="s">
        <v>220</v>
      </c>
      <c r="F19" s="86"/>
    </row>
    <row r="20" spans="1:6" ht="45">
      <c r="A20" s="89" t="s">
        <v>221</v>
      </c>
      <c r="B20" s="89">
        <v>5</v>
      </c>
      <c r="C20" s="89">
        <v>1</v>
      </c>
      <c r="D20" s="89">
        <f t="shared" si="0"/>
        <v>5</v>
      </c>
      <c r="E20" s="90" t="s">
        <v>222</v>
      </c>
      <c r="F20" s="86"/>
    </row>
    <row r="21" spans="1:6" ht="30">
      <c r="A21" s="89" t="s">
        <v>66</v>
      </c>
      <c r="B21" s="89">
        <v>3</v>
      </c>
      <c r="C21" s="89"/>
      <c r="D21" s="89"/>
      <c r="E21" s="90" t="s">
        <v>223</v>
      </c>
      <c r="F21" s="86"/>
    </row>
    <row r="22" spans="1:6" ht="30">
      <c r="A22" s="89" t="s">
        <v>224</v>
      </c>
      <c r="B22" s="89">
        <v>5</v>
      </c>
      <c r="C22" s="89">
        <v>2</v>
      </c>
      <c r="D22" s="89">
        <f t="shared" si="0"/>
        <v>6</v>
      </c>
      <c r="E22" s="90" t="s">
        <v>225</v>
      </c>
      <c r="F22" s="86"/>
    </row>
    <row r="23" spans="1:6" ht="45">
      <c r="A23" s="89" t="s">
        <v>226</v>
      </c>
      <c r="B23" s="89">
        <v>2</v>
      </c>
      <c r="C23" s="89">
        <v>3</v>
      </c>
      <c r="D23" s="89">
        <f t="shared" si="0"/>
        <v>4</v>
      </c>
      <c r="E23" s="90" t="s">
        <v>227</v>
      </c>
      <c r="F23" s="86"/>
    </row>
    <row r="24" spans="1:6">
      <c r="A24" s="89" t="s">
        <v>228</v>
      </c>
      <c r="B24" s="89">
        <v>4</v>
      </c>
      <c r="C24" s="89">
        <v>3</v>
      </c>
      <c r="D24" s="89">
        <f t="shared" si="0"/>
        <v>6</v>
      </c>
      <c r="E24" s="90" t="s">
        <v>229</v>
      </c>
      <c r="F24" s="86"/>
    </row>
    <row r="25" spans="1:6">
      <c r="A25" s="89" t="s">
        <v>230</v>
      </c>
      <c r="B25" s="89">
        <v>3</v>
      </c>
      <c r="C25" s="89">
        <v>4</v>
      </c>
      <c r="D25" s="89">
        <f t="shared" si="0"/>
        <v>6</v>
      </c>
      <c r="E25" s="90" t="s">
        <v>231</v>
      </c>
      <c r="F25" s="86"/>
    </row>
    <row r="26" spans="1:6">
      <c r="A26" s="89" t="s">
        <v>232</v>
      </c>
      <c r="B26" s="89">
        <v>2</v>
      </c>
      <c r="C26" s="89">
        <v>2</v>
      </c>
      <c r="D26" s="89">
        <f t="shared" si="0"/>
        <v>3</v>
      </c>
      <c r="E26" s="90" t="s">
        <v>233</v>
      </c>
      <c r="F26" s="86"/>
    </row>
    <row r="27" spans="1:6">
      <c r="A27" s="89" t="s">
        <v>234</v>
      </c>
      <c r="B27" s="89">
        <v>2</v>
      </c>
      <c r="C27" s="89">
        <v>3</v>
      </c>
      <c r="D27" s="89">
        <f t="shared" si="0"/>
        <v>4</v>
      </c>
      <c r="E27" s="90" t="s">
        <v>235</v>
      </c>
      <c r="F27" s="86"/>
    </row>
    <row r="28" spans="1:6">
      <c r="A28" s="89" t="s">
        <v>236</v>
      </c>
      <c r="B28" s="89"/>
      <c r="C28" s="89"/>
      <c r="D28" s="89"/>
      <c r="E28" s="90"/>
      <c r="F28" s="86"/>
    </row>
    <row r="29" spans="1:6" ht="30">
      <c r="A29" s="89" t="s">
        <v>237</v>
      </c>
      <c r="B29" s="89">
        <v>4</v>
      </c>
      <c r="C29" s="89">
        <v>3</v>
      </c>
      <c r="D29" s="89">
        <f t="shared" si="0"/>
        <v>6</v>
      </c>
      <c r="E29" s="90" t="s">
        <v>238</v>
      </c>
      <c r="F29" s="86"/>
    </row>
    <row r="30" spans="1:6" ht="30">
      <c r="A30" s="89" t="s">
        <v>168</v>
      </c>
      <c r="B30" s="89">
        <v>3</v>
      </c>
      <c r="C30" s="89">
        <v>4</v>
      </c>
      <c r="D30" s="89">
        <f t="shared" si="0"/>
        <v>6</v>
      </c>
      <c r="E30" s="90" t="s">
        <v>239</v>
      </c>
      <c r="F30" s="86"/>
    </row>
    <row r="31" spans="1:6">
      <c r="A31" s="89" t="s">
        <v>240</v>
      </c>
      <c r="B31" s="89">
        <v>1</v>
      </c>
      <c r="C31" s="89">
        <v>4</v>
      </c>
      <c r="D31" s="89">
        <f t="shared" si="0"/>
        <v>4</v>
      </c>
      <c r="E31" s="90" t="s">
        <v>241</v>
      </c>
      <c r="F31" s="86"/>
    </row>
    <row r="32" spans="1:6" ht="45">
      <c r="A32" s="89" t="s">
        <v>242</v>
      </c>
      <c r="B32" s="89">
        <v>2</v>
      </c>
      <c r="C32" s="89">
        <v>4</v>
      </c>
      <c r="D32" s="89">
        <f t="shared" si="0"/>
        <v>5</v>
      </c>
      <c r="E32" s="90" t="s">
        <v>243</v>
      </c>
      <c r="F32" s="86"/>
    </row>
    <row r="33" spans="1:6" ht="30">
      <c r="A33" s="89" t="s">
        <v>244</v>
      </c>
      <c r="B33" s="89">
        <v>3</v>
      </c>
      <c r="C33" s="89">
        <v>3</v>
      </c>
      <c r="D33" s="89">
        <f t="shared" si="0"/>
        <v>5</v>
      </c>
      <c r="E33" s="90" t="s">
        <v>245</v>
      </c>
      <c r="F33" s="86"/>
    </row>
    <row r="34" spans="1:6" ht="45">
      <c r="A34" s="89" t="s">
        <v>246</v>
      </c>
      <c r="B34" s="89">
        <v>2</v>
      </c>
      <c r="C34" s="89">
        <v>4</v>
      </c>
      <c r="D34" s="89">
        <f t="shared" si="0"/>
        <v>5</v>
      </c>
      <c r="E34" s="90" t="s">
        <v>247</v>
      </c>
      <c r="F34" s="86"/>
    </row>
    <row r="35" spans="1:6" ht="45">
      <c r="A35" s="89" t="s">
        <v>248</v>
      </c>
      <c r="B35" s="89">
        <v>4</v>
      </c>
      <c r="C35" s="89">
        <v>1</v>
      </c>
      <c r="D35" s="89">
        <f t="shared" si="0"/>
        <v>4</v>
      </c>
      <c r="E35" s="90" t="s">
        <v>249</v>
      </c>
      <c r="F35" s="86"/>
    </row>
    <row r="36" spans="1:6" ht="45">
      <c r="A36" s="89" t="s">
        <v>172</v>
      </c>
      <c r="B36" s="89">
        <v>2</v>
      </c>
      <c r="C36" s="89">
        <v>4</v>
      </c>
      <c r="D36" s="89">
        <f t="shared" si="0"/>
        <v>5</v>
      </c>
      <c r="E36" s="90" t="s">
        <v>250</v>
      </c>
      <c r="F36" s="86"/>
    </row>
    <row r="37" spans="1:6" ht="45">
      <c r="A37" s="89" t="s">
        <v>251</v>
      </c>
      <c r="B37" s="89">
        <v>3</v>
      </c>
      <c r="C37" s="89">
        <v>2</v>
      </c>
      <c r="D37" s="89">
        <f t="shared" si="0"/>
        <v>4</v>
      </c>
      <c r="E37" s="90" t="s">
        <v>252</v>
      </c>
      <c r="F37" s="86"/>
    </row>
    <row r="38" spans="1:6" ht="60">
      <c r="A38" s="89" t="s">
        <v>253</v>
      </c>
      <c r="B38" s="89">
        <v>4</v>
      </c>
      <c r="C38" s="89">
        <v>1</v>
      </c>
      <c r="D38" s="89">
        <f t="shared" si="0"/>
        <v>4</v>
      </c>
      <c r="E38" s="90" t="s">
        <v>254</v>
      </c>
      <c r="F38" s="86"/>
    </row>
    <row r="39" spans="1:6" ht="30">
      <c r="A39" s="89" t="s">
        <v>255</v>
      </c>
      <c r="B39" s="89">
        <v>5</v>
      </c>
      <c r="C39" s="89">
        <v>2</v>
      </c>
      <c r="D39" s="89">
        <f t="shared" si="0"/>
        <v>6</v>
      </c>
      <c r="E39" s="90" t="s">
        <v>256</v>
      </c>
      <c r="F39" s="86"/>
    </row>
    <row r="40" spans="1:6">
      <c r="A40" s="89" t="s">
        <v>257</v>
      </c>
      <c r="B40" s="89">
        <v>2</v>
      </c>
      <c r="C40" s="89">
        <v>1</v>
      </c>
      <c r="D40" s="89">
        <f t="shared" si="0"/>
        <v>2</v>
      </c>
      <c r="E40" s="90" t="s">
        <v>258</v>
      </c>
      <c r="F40" s="86"/>
    </row>
    <row r="41" spans="1:6">
      <c r="A41" s="89" t="s">
        <v>259</v>
      </c>
      <c r="B41" s="89">
        <v>2</v>
      </c>
      <c r="C41" s="89">
        <v>1</v>
      </c>
      <c r="D41" s="89">
        <f t="shared" si="0"/>
        <v>2</v>
      </c>
      <c r="E41" s="90" t="s">
        <v>260</v>
      </c>
      <c r="F41" s="86"/>
    </row>
    <row r="42" spans="1:6">
      <c r="A42" s="89" t="s">
        <v>261</v>
      </c>
      <c r="B42" s="89">
        <v>2</v>
      </c>
      <c r="C42" s="89">
        <v>3</v>
      </c>
      <c r="D42" s="89">
        <f t="shared" si="0"/>
        <v>4</v>
      </c>
      <c r="E42" s="90" t="s">
        <v>262</v>
      </c>
      <c r="F42" s="86"/>
    </row>
    <row r="43" spans="1:6">
      <c r="A43" s="89" t="s">
        <v>174</v>
      </c>
      <c r="B43" s="89">
        <v>1</v>
      </c>
      <c r="C43" s="89">
        <v>5</v>
      </c>
      <c r="D43" s="89">
        <f t="shared" si="0"/>
        <v>5</v>
      </c>
      <c r="E43" s="90" t="s">
        <v>263</v>
      </c>
      <c r="F43" s="86"/>
    </row>
    <row r="44" spans="1:6" ht="30">
      <c r="A44" s="89" t="s">
        <v>264</v>
      </c>
      <c r="B44" s="89">
        <v>3</v>
      </c>
      <c r="C44" s="89">
        <v>1</v>
      </c>
      <c r="D44" s="89">
        <f t="shared" si="0"/>
        <v>3</v>
      </c>
      <c r="E44" s="90" t="s">
        <v>265</v>
      </c>
      <c r="F44" s="86"/>
    </row>
    <row r="45" spans="1:6" ht="30">
      <c r="A45" s="89" t="s">
        <v>266</v>
      </c>
      <c r="B45" s="89">
        <v>1</v>
      </c>
      <c r="C45" s="89">
        <v>5</v>
      </c>
      <c r="D45" s="89">
        <f t="shared" si="0"/>
        <v>5</v>
      </c>
      <c r="E45" s="90" t="s">
        <v>265</v>
      </c>
      <c r="F45" s="86"/>
    </row>
    <row r="46" spans="1:6">
      <c r="A46" s="89" t="s">
        <v>267</v>
      </c>
      <c r="B46" s="89">
        <v>4</v>
      </c>
      <c r="C46" s="89">
        <v>1</v>
      </c>
      <c r="D46" s="89">
        <f t="shared" si="0"/>
        <v>4</v>
      </c>
      <c r="E46" s="90" t="s">
        <v>268</v>
      </c>
      <c r="F46" s="86"/>
    </row>
    <row r="47" spans="1:6" ht="30">
      <c r="A47" s="89" t="s">
        <v>269</v>
      </c>
      <c r="B47" s="89">
        <v>2</v>
      </c>
      <c r="C47" s="89">
        <v>3</v>
      </c>
      <c r="D47" s="89">
        <f t="shared" si="0"/>
        <v>4</v>
      </c>
      <c r="E47" s="90" t="s">
        <v>270</v>
      </c>
      <c r="F47" s="86"/>
    </row>
    <row r="48" spans="1:6" ht="30">
      <c r="A48" s="89" t="s">
        <v>271</v>
      </c>
      <c r="B48" s="89">
        <v>4</v>
      </c>
      <c r="C48" s="89">
        <v>2</v>
      </c>
      <c r="D48" s="89">
        <f t="shared" si="0"/>
        <v>5</v>
      </c>
      <c r="E48" s="90" t="s">
        <v>272</v>
      </c>
      <c r="F48" s="86"/>
    </row>
    <row r="49" spans="1:6" ht="45">
      <c r="A49" s="89" t="s">
        <v>273</v>
      </c>
      <c r="B49" s="89">
        <v>3</v>
      </c>
      <c r="C49" s="89">
        <v>4</v>
      </c>
      <c r="D49" s="89">
        <f t="shared" si="0"/>
        <v>6</v>
      </c>
      <c r="E49" s="90" t="s">
        <v>274</v>
      </c>
      <c r="F49" s="86"/>
    </row>
    <row r="50" spans="1:6" ht="30">
      <c r="A50" s="89" t="s">
        <v>275</v>
      </c>
      <c r="B50" s="89">
        <v>2</v>
      </c>
      <c r="C50" s="89">
        <v>3</v>
      </c>
      <c r="D50" s="89">
        <f t="shared" si="0"/>
        <v>4</v>
      </c>
      <c r="E50" s="90" t="s">
        <v>276</v>
      </c>
      <c r="F50" s="86"/>
    </row>
    <row r="51" spans="1:6" ht="30">
      <c r="A51" s="89" t="s">
        <v>277</v>
      </c>
      <c r="B51" s="89">
        <v>2</v>
      </c>
      <c r="C51" s="89">
        <v>1</v>
      </c>
      <c r="D51" s="89">
        <f t="shared" si="0"/>
        <v>2</v>
      </c>
      <c r="E51" s="90" t="s">
        <v>278</v>
      </c>
      <c r="F51" s="86"/>
    </row>
    <row r="52" spans="1:6" ht="45">
      <c r="A52" s="89" t="s">
        <v>170</v>
      </c>
      <c r="B52" s="89">
        <v>2</v>
      </c>
      <c r="C52" s="89">
        <v>4</v>
      </c>
      <c r="D52" s="89">
        <f t="shared" si="0"/>
        <v>5</v>
      </c>
      <c r="E52" s="90" t="s">
        <v>279</v>
      </c>
      <c r="F52" s="86"/>
    </row>
    <row r="53" spans="1:6" ht="30">
      <c r="A53" s="89" t="s">
        <v>280</v>
      </c>
      <c r="B53" s="89">
        <v>4</v>
      </c>
      <c r="C53" s="89">
        <v>2</v>
      </c>
      <c r="D53" s="89">
        <f t="shared" si="0"/>
        <v>5</v>
      </c>
      <c r="E53" s="90" t="s">
        <v>281</v>
      </c>
      <c r="F53" s="86"/>
    </row>
    <row r="54" spans="1:6" ht="30">
      <c r="A54" s="89" t="s">
        <v>282</v>
      </c>
      <c r="B54" s="89">
        <v>4</v>
      </c>
      <c r="C54" s="89">
        <v>2</v>
      </c>
      <c r="D54" s="89">
        <f t="shared" si="0"/>
        <v>5</v>
      </c>
      <c r="E54" s="90" t="s">
        <v>283</v>
      </c>
      <c r="F54" s="86"/>
    </row>
    <row r="55" spans="1:6" ht="30">
      <c r="A55" s="89" t="s">
        <v>284</v>
      </c>
      <c r="B55" s="89">
        <v>4</v>
      </c>
      <c r="C55" s="89">
        <v>2</v>
      </c>
      <c r="D55" s="89">
        <f t="shared" si="0"/>
        <v>5</v>
      </c>
      <c r="E55" s="90" t="s">
        <v>285</v>
      </c>
      <c r="F55" s="86"/>
    </row>
    <row r="56" spans="1:6" ht="30">
      <c r="A56" s="89" t="s">
        <v>286</v>
      </c>
      <c r="B56" s="89">
        <v>2</v>
      </c>
      <c r="C56" s="89">
        <v>4</v>
      </c>
      <c r="D56" s="89">
        <f t="shared" si="0"/>
        <v>5</v>
      </c>
      <c r="E56" s="90" t="s">
        <v>287</v>
      </c>
      <c r="F56" s="86"/>
    </row>
    <row r="57" spans="1:6">
      <c r="A57" s="89" t="s">
        <v>288</v>
      </c>
      <c r="B57" s="89">
        <v>2</v>
      </c>
      <c r="C57" s="89">
        <v>3</v>
      </c>
      <c r="D57" s="89">
        <f t="shared" si="0"/>
        <v>4</v>
      </c>
      <c r="E57" s="90" t="s">
        <v>289</v>
      </c>
      <c r="F57" s="86"/>
    </row>
    <row r="58" spans="1:6" ht="30">
      <c r="A58" s="89" t="s">
        <v>290</v>
      </c>
      <c r="B58" s="89">
        <v>1</v>
      </c>
      <c r="C58" s="89">
        <v>3</v>
      </c>
      <c r="D58" s="89">
        <f t="shared" si="0"/>
        <v>3</v>
      </c>
      <c r="E58" s="90" t="s">
        <v>291</v>
      </c>
      <c r="F58" s="86"/>
    </row>
    <row r="59" spans="1:6" ht="30">
      <c r="A59" s="89" t="s">
        <v>178</v>
      </c>
      <c r="B59" s="89">
        <v>4</v>
      </c>
      <c r="C59" s="89">
        <v>2</v>
      </c>
      <c r="D59" s="89">
        <f t="shared" si="0"/>
        <v>5</v>
      </c>
      <c r="E59" s="90" t="s">
        <v>292</v>
      </c>
      <c r="F59" s="86"/>
    </row>
    <row r="60" spans="1:6">
      <c r="A60" s="89"/>
      <c r="B60" s="89"/>
      <c r="C60" s="89"/>
      <c r="D60" s="89"/>
      <c r="E60" s="90"/>
      <c r="F60" s="86"/>
    </row>
    <row r="61" spans="1:6">
      <c r="A61" s="89"/>
      <c r="B61" s="89"/>
      <c r="C61" s="89"/>
      <c r="D61" s="89"/>
      <c r="E61" s="90"/>
      <c r="F61" s="86"/>
    </row>
    <row r="62" spans="1:6">
      <c r="A62" s="89"/>
      <c r="B62" s="89"/>
      <c r="C62" s="89"/>
      <c r="D62" s="89"/>
      <c r="E62" s="90"/>
      <c r="F62" s="86"/>
    </row>
    <row r="63" spans="1:6">
      <c r="A63" s="89"/>
      <c r="B63" s="89"/>
      <c r="C63" s="89"/>
      <c r="D63" s="89"/>
      <c r="E63" s="90"/>
      <c r="F63" s="86"/>
    </row>
    <row r="64" spans="1:6">
      <c r="A64" s="89"/>
      <c r="B64" s="89"/>
      <c r="C64" s="89"/>
      <c r="D64" s="89"/>
      <c r="E64" s="90"/>
      <c r="F64" s="86"/>
    </row>
    <row r="65" spans="1:6">
      <c r="A65" s="89"/>
      <c r="B65" s="89"/>
      <c r="C65" s="89"/>
      <c r="D65" s="89"/>
      <c r="E65" s="90"/>
      <c r="F65" s="86"/>
    </row>
    <row r="66" spans="1:6">
      <c r="A66" s="89"/>
      <c r="B66" s="89"/>
      <c r="C66" s="89"/>
      <c r="D66" s="89"/>
      <c r="E66" s="90"/>
      <c r="F66" s="86"/>
    </row>
    <row r="67" spans="1:6">
      <c r="A67" s="89"/>
      <c r="B67" s="89"/>
      <c r="C67" s="89"/>
      <c r="D67" s="89"/>
      <c r="E67" s="90"/>
      <c r="F67" s="86"/>
    </row>
    <row r="68" spans="1:6">
      <c r="A68" s="89"/>
      <c r="B68" s="89"/>
      <c r="C68" s="89"/>
      <c r="D68" s="89"/>
      <c r="E68" s="90"/>
      <c r="F68" s="86"/>
    </row>
    <row r="69" spans="1:6">
      <c r="A69" s="89"/>
      <c r="B69" s="89"/>
      <c r="C69" s="89"/>
      <c r="D69" s="89"/>
      <c r="E69" s="90"/>
      <c r="F69" s="86"/>
    </row>
    <row r="70" spans="1:6">
      <c r="A70" s="89"/>
      <c r="B70" s="89"/>
      <c r="C70" s="89"/>
      <c r="D70" s="89"/>
      <c r="E70" s="90"/>
      <c r="F70" s="86"/>
    </row>
    <row r="71" spans="1:6">
      <c r="A71" s="89"/>
      <c r="B71" s="89"/>
      <c r="C71" s="89"/>
      <c r="D71" s="89"/>
      <c r="E71" s="90"/>
      <c r="F71" s="86"/>
    </row>
    <row r="72" spans="1:6">
      <c r="A72" s="89"/>
      <c r="B72" s="89"/>
      <c r="C72" s="89"/>
      <c r="D72" s="89"/>
      <c r="E72" s="90"/>
      <c r="F72" s="86"/>
    </row>
    <row r="73" spans="1:6" ht="30">
      <c r="A73" s="89" t="s">
        <v>178</v>
      </c>
      <c r="B73" s="89">
        <v>4</v>
      </c>
      <c r="C73" s="89">
        <v>2</v>
      </c>
      <c r="D73" s="89">
        <f t="shared" ref="D73" si="1">B73+C73-1</f>
        <v>5</v>
      </c>
      <c r="E73" s="90" t="s">
        <v>292</v>
      </c>
      <c r="F73" s="86"/>
    </row>
    <row r="74" spans="1:6">
      <c r="F74" s="86"/>
    </row>
    <row r="75" spans="1:6">
      <c r="F75" s="86"/>
    </row>
    <row r="76" spans="1:6">
      <c r="F76" s="86"/>
    </row>
    <row r="77" spans="1:6">
      <c r="F77" s="86"/>
    </row>
    <row r="78" spans="1:6">
      <c r="A78" s="87" t="s">
        <v>293</v>
      </c>
      <c r="F78" s="86"/>
    </row>
    <row r="79" spans="1:6">
      <c r="A79" s="94" t="s">
        <v>294</v>
      </c>
      <c r="F79" s="86"/>
    </row>
    <row r="80" spans="1:6">
      <c r="A80" s="94" t="s">
        <v>295</v>
      </c>
      <c r="F80" s="86"/>
    </row>
    <row r="81" spans="1:6">
      <c r="A81" s="94" t="s">
        <v>296</v>
      </c>
      <c r="F81" s="86"/>
    </row>
    <row r="82" spans="1:6">
      <c r="A82" s="94" t="s">
        <v>297</v>
      </c>
      <c r="F82" s="86"/>
    </row>
    <row r="83" spans="1:6">
      <c r="A83" s="94" t="s">
        <v>298</v>
      </c>
      <c r="F83" s="86"/>
    </row>
    <row r="84" spans="1:6">
      <c r="A84" s="94" t="s">
        <v>299</v>
      </c>
      <c r="F84" s="86"/>
    </row>
    <row r="85" spans="1:6">
      <c r="A85" s="94" t="s">
        <v>300</v>
      </c>
      <c r="F85" s="86"/>
    </row>
    <row r="86" spans="1:6">
      <c r="A86" s="94" t="s">
        <v>301</v>
      </c>
      <c r="F86" s="86"/>
    </row>
    <row r="87" spans="1:6">
      <c r="A87" s="94" t="s">
        <v>302</v>
      </c>
      <c r="F87" s="86"/>
    </row>
    <row r="88" spans="1:6">
      <c r="A88" s="94" t="s">
        <v>303</v>
      </c>
      <c r="F88" s="86"/>
    </row>
    <row r="89" spans="1:6">
      <c r="A89" s="94" t="s">
        <v>304</v>
      </c>
      <c r="F89" s="86"/>
    </row>
    <row r="90" spans="1:6">
      <c r="A90" s="94" t="s">
        <v>305</v>
      </c>
      <c r="F90" s="86"/>
    </row>
    <row r="91" spans="1:6">
      <c r="A91" s="94" t="s">
        <v>306</v>
      </c>
      <c r="F91" s="86"/>
    </row>
    <row r="92" spans="1:6">
      <c r="A92" s="94" t="s">
        <v>307</v>
      </c>
      <c r="F92" s="86"/>
    </row>
    <row r="93" spans="1:6">
      <c r="A93" s="94" t="s">
        <v>308</v>
      </c>
    </row>
    <row r="94" spans="1:6">
      <c r="A94" s="94" t="s">
        <v>309</v>
      </c>
    </row>
    <row r="95" spans="1:6">
      <c r="A95" s="94" t="s">
        <v>310</v>
      </c>
    </row>
    <row r="96" spans="1:6">
      <c r="A96" s="94" t="s">
        <v>311</v>
      </c>
    </row>
    <row r="97" spans="1:5">
      <c r="A97" s="94" t="s">
        <v>312</v>
      </c>
    </row>
    <row r="98" spans="1:5">
      <c r="A98" s="94" t="s">
        <v>313</v>
      </c>
    </row>
    <row r="99" spans="1:5">
      <c r="A99" s="94" t="s">
        <v>314</v>
      </c>
    </row>
    <row r="100" spans="1:5">
      <c r="A100" s="94" t="s">
        <v>315</v>
      </c>
    </row>
    <row r="101" spans="1:5">
      <c r="A101" s="94" t="s">
        <v>316</v>
      </c>
      <c r="E101" s="91"/>
    </row>
    <row r="102" spans="1:5">
      <c r="A102" s="94" t="s">
        <v>317</v>
      </c>
      <c r="E102" s="91"/>
    </row>
    <row r="103" spans="1:5">
      <c r="A103" s="94" t="s">
        <v>318</v>
      </c>
      <c r="E103" s="91"/>
    </row>
    <row r="104" spans="1:5">
      <c r="A104" s="94" t="s">
        <v>319</v>
      </c>
      <c r="E104" s="91"/>
    </row>
    <row r="105" spans="1:5">
      <c r="A105" s="94" t="s">
        <v>320</v>
      </c>
      <c r="E105" s="91"/>
    </row>
    <row r="106" spans="1:5">
      <c r="A106" s="94" t="s">
        <v>321</v>
      </c>
      <c r="E106" s="91"/>
    </row>
    <row r="107" spans="1:5">
      <c r="A107" s="94" t="s">
        <v>322</v>
      </c>
      <c r="E107" s="91"/>
    </row>
    <row r="108" spans="1:5">
      <c r="A108" s="94" t="s">
        <v>323</v>
      </c>
      <c r="E108" s="91"/>
    </row>
    <row r="109" spans="1:5">
      <c r="A109" s="94" t="s">
        <v>324</v>
      </c>
      <c r="E109" s="91"/>
    </row>
    <row r="110" spans="1:5">
      <c r="A110" s="94" t="s">
        <v>325</v>
      </c>
      <c r="E110" s="91"/>
    </row>
    <row r="111" spans="1:5">
      <c r="A111" s="94" t="s">
        <v>326</v>
      </c>
      <c r="E111" s="91"/>
    </row>
    <row r="112" spans="1:5">
      <c r="A112" s="94" t="s">
        <v>327</v>
      </c>
      <c r="E112" s="91"/>
    </row>
    <row r="113" spans="1:5">
      <c r="A113" s="94" t="s">
        <v>328</v>
      </c>
      <c r="E113" s="91"/>
    </row>
    <row r="114" spans="1:5">
      <c r="A114" s="94" t="s">
        <v>329</v>
      </c>
      <c r="E114" s="91"/>
    </row>
    <row r="115" spans="1:5">
      <c r="A115" s="94" t="s">
        <v>330</v>
      </c>
      <c r="E115" s="91"/>
    </row>
    <row r="116" spans="1:5">
      <c r="A116" s="94" t="s">
        <v>331</v>
      </c>
      <c r="E116" s="91"/>
    </row>
    <row r="117" spans="1:5">
      <c r="A117" s="94" t="s">
        <v>332</v>
      </c>
      <c r="E117" s="91"/>
    </row>
    <row r="118" spans="1:5">
      <c r="A118" s="94" t="s">
        <v>333</v>
      </c>
      <c r="E118" s="91"/>
    </row>
    <row r="119" spans="1:5">
      <c r="A119" s="94" t="s">
        <v>334</v>
      </c>
      <c r="E119" s="91"/>
    </row>
    <row r="120" spans="1:5">
      <c r="A120" s="94" t="s">
        <v>335</v>
      </c>
      <c r="E120" s="91"/>
    </row>
    <row r="121" spans="1:5">
      <c r="A121" s="94" t="s">
        <v>336</v>
      </c>
      <c r="E121" s="91"/>
    </row>
    <row r="122" spans="1:5">
      <c r="A122" s="94" t="s">
        <v>337</v>
      </c>
      <c r="E122" s="91"/>
    </row>
    <row r="123" spans="1:5">
      <c r="A123" s="94" t="s">
        <v>338</v>
      </c>
      <c r="E123" s="91"/>
    </row>
    <row r="124" spans="1:5">
      <c r="A124" s="94" t="s">
        <v>339</v>
      </c>
      <c r="E124" s="91"/>
    </row>
    <row r="125" spans="1:5">
      <c r="A125" s="94" t="s">
        <v>340</v>
      </c>
      <c r="E125" s="91"/>
    </row>
    <row r="126" spans="1:5">
      <c r="A126" s="94" t="s">
        <v>341</v>
      </c>
      <c r="E126" s="91"/>
    </row>
    <row r="127" spans="1:5">
      <c r="A127" s="94" t="s">
        <v>342</v>
      </c>
      <c r="E127" s="91"/>
    </row>
    <row r="128" spans="1:5">
      <c r="A128" s="94" t="s">
        <v>343</v>
      </c>
      <c r="E128" s="91"/>
    </row>
    <row r="129" spans="1:5">
      <c r="A129" s="88" t="s">
        <v>344</v>
      </c>
      <c r="E129" s="91"/>
    </row>
    <row r="130" spans="1:5">
      <c r="A130" s="94" t="s">
        <v>345</v>
      </c>
      <c r="E130" s="91"/>
    </row>
    <row r="131" spans="1:5">
      <c r="A131" s="88" t="s">
        <v>346</v>
      </c>
      <c r="E131" s="91"/>
    </row>
    <row r="132" spans="1:5">
      <c r="A132" s="94" t="s">
        <v>347</v>
      </c>
      <c r="E132" s="91"/>
    </row>
    <row r="133" spans="1:5">
      <c r="A133" s="88" t="s">
        <v>348</v>
      </c>
      <c r="E133" s="91"/>
    </row>
    <row r="134" spans="1:5">
      <c r="A134" s="94" t="s">
        <v>349</v>
      </c>
      <c r="E134" s="91"/>
    </row>
    <row r="135" spans="1:5">
      <c r="A135" s="94" t="s">
        <v>350</v>
      </c>
      <c r="E135" s="91"/>
    </row>
    <row r="136" spans="1:5">
      <c r="A136" s="94" t="s">
        <v>351</v>
      </c>
      <c r="E136" s="91"/>
    </row>
    <row r="137" spans="1:5">
      <c r="A137" s="94" t="s">
        <v>352</v>
      </c>
      <c r="E137" s="91"/>
    </row>
    <row r="138" spans="1:5">
      <c r="A138" s="94" t="s">
        <v>353</v>
      </c>
      <c r="E138" s="91"/>
    </row>
    <row r="139" spans="1:5">
      <c r="A139" s="94" t="s">
        <v>354</v>
      </c>
      <c r="E139" s="91"/>
    </row>
    <row r="140" spans="1:5">
      <c r="A140" s="94" t="s">
        <v>355</v>
      </c>
      <c r="E140" s="91"/>
    </row>
    <row r="141" spans="1:5">
      <c r="A141" s="94" t="s">
        <v>356</v>
      </c>
      <c r="E141" s="91"/>
    </row>
    <row r="142" spans="1:5">
      <c r="A142" s="94" t="s">
        <v>357</v>
      </c>
      <c r="E142" s="91"/>
    </row>
    <row r="143" spans="1:5">
      <c r="A143" s="94" t="s">
        <v>358</v>
      </c>
      <c r="E143" s="91"/>
    </row>
    <row r="144" spans="1:5">
      <c r="A144" s="94" t="s">
        <v>359</v>
      </c>
      <c r="E144" s="91"/>
    </row>
    <row r="145" spans="1:5">
      <c r="A145" s="94" t="s">
        <v>360</v>
      </c>
      <c r="E145" s="91"/>
    </row>
    <row r="146" spans="1:5">
      <c r="A146" s="94" t="s">
        <v>361</v>
      </c>
      <c r="E146" s="91"/>
    </row>
    <row r="147" spans="1:5">
      <c r="A147" s="94" t="s">
        <v>362</v>
      </c>
      <c r="E147" s="91"/>
    </row>
    <row r="148" spans="1:5">
      <c r="A148" s="94" t="s">
        <v>363</v>
      </c>
      <c r="E148" s="91"/>
    </row>
    <row r="149" spans="1:5">
      <c r="A149" s="94" t="s">
        <v>364</v>
      </c>
      <c r="E149" s="91"/>
    </row>
    <row r="150" spans="1:5">
      <c r="A150" s="94" t="s">
        <v>365</v>
      </c>
      <c r="E150" s="91"/>
    </row>
    <row r="151" spans="1:5">
      <c r="A151" s="94" t="s">
        <v>366</v>
      </c>
      <c r="E151" s="91"/>
    </row>
    <row r="152" spans="1:5">
      <c r="A152" s="94" t="s">
        <v>367</v>
      </c>
      <c r="E152" s="91"/>
    </row>
    <row r="153" spans="1:5">
      <c r="A153" s="94" t="s">
        <v>368</v>
      </c>
      <c r="E153" s="91"/>
    </row>
    <row r="154" spans="1:5">
      <c r="A154" s="94" t="s">
        <v>369</v>
      </c>
      <c r="E154" s="91"/>
    </row>
    <row r="155" spans="1:5">
      <c r="A155" s="94" t="s">
        <v>370</v>
      </c>
      <c r="E155" s="91"/>
    </row>
    <row r="156" spans="1:5">
      <c r="A156" s="94" t="s">
        <v>371</v>
      </c>
      <c r="E156" s="91"/>
    </row>
    <row r="157" spans="1:5">
      <c r="A157" s="94" t="s">
        <v>372</v>
      </c>
      <c r="E157" s="91"/>
    </row>
    <row r="158" spans="1:5">
      <c r="A158" s="94" t="s">
        <v>373</v>
      </c>
      <c r="E158" s="91"/>
    </row>
    <row r="159" spans="1:5">
      <c r="A159" s="94" t="s">
        <v>374</v>
      </c>
      <c r="E159" s="91"/>
    </row>
    <row r="160" spans="1:5">
      <c r="A160" s="94" t="s">
        <v>375</v>
      </c>
      <c r="E160" s="91"/>
    </row>
    <row r="161" spans="1:5">
      <c r="A161" s="94" t="s">
        <v>376</v>
      </c>
      <c r="E161" s="91"/>
    </row>
    <row r="162" spans="1:5">
      <c r="A162" s="94" t="s">
        <v>377</v>
      </c>
      <c r="E162" s="91"/>
    </row>
    <row r="163" spans="1:5">
      <c r="A163" s="94" t="s">
        <v>378</v>
      </c>
      <c r="E163" s="91"/>
    </row>
    <row r="164" spans="1:5">
      <c r="A164" s="94" t="s">
        <v>379</v>
      </c>
      <c r="E164" s="91"/>
    </row>
    <row r="165" spans="1:5">
      <c r="A165" s="94" t="s">
        <v>380</v>
      </c>
      <c r="E165" s="91"/>
    </row>
    <row r="166" spans="1:5">
      <c r="A166" s="94" t="s">
        <v>381</v>
      </c>
      <c r="E166" s="91"/>
    </row>
    <row r="167" spans="1:5">
      <c r="A167" s="94" t="s">
        <v>382</v>
      </c>
      <c r="E167" s="91"/>
    </row>
    <row r="168" spans="1:5">
      <c r="A168" s="94" t="s">
        <v>383</v>
      </c>
      <c r="E168" s="91"/>
    </row>
    <row r="169" spans="1:5">
      <c r="A169" s="94" t="s">
        <v>384</v>
      </c>
      <c r="E169" s="91"/>
    </row>
    <row r="170" spans="1:5">
      <c r="A170" s="94" t="s">
        <v>385</v>
      </c>
      <c r="E170" s="91"/>
    </row>
    <row r="171" spans="1:5">
      <c r="A171" s="94" t="s">
        <v>386</v>
      </c>
      <c r="E171" s="91"/>
    </row>
    <row r="172" spans="1:5">
      <c r="A172" s="94" t="s">
        <v>387</v>
      </c>
      <c r="E172" s="91"/>
    </row>
    <row r="173" spans="1:5">
      <c r="A173" s="94" t="s">
        <v>388</v>
      </c>
      <c r="E173" s="91"/>
    </row>
    <row r="174" spans="1:5">
      <c r="A174" s="94" t="s">
        <v>389</v>
      </c>
      <c r="E174" s="91"/>
    </row>
    <row r="175" spans="1:5">
      <c r="A175" s="94" t="s">
        <v>390</v>
      </c>
      <c r="E175" s="91"/>
    </row>
    <row r="176" spans="1:5">
      <c r="A176" s="94" t="s">
        <v>391</v>
      </c>
      <c r="E176" s="91"/>
    </row>
    <row r="177" spans="1:5">
      <c r="A177" s="94"/>
      <c r="E177" s="91"/>
    </row>
    <row r="178" spans="1:5">
      <c r="A178" s="94" t="s">
        <v>392</v>
      </c>
      <c r="E178" s="91"/>
    </row>
    <row r="179" spans="1:5">
      <c r="A179" s="94" t="s">
        <v>393</v>
      </c>
      <c r="E179" s="91"/>
    </row>
    <row r="180" spans="1:5">
      <c r="A180" s="94" t="s">
        <v>394</v>
      </c>
      <c r="E180" s="91"/>
    </row>
    <row r="181" spans="1:5">
      <c r="A181" s="94" t="s">
        <v>395</v>
      </c>
      <c r="E181" s="91"/>
    </row>
    <row r="182" spans="1:5">
      <c r="A182" s="94" t="s">
        <v>79</v>
      </c>
      <c r="E182" s="91"/>
    </row>
    <row r="183" spans="1:5">
      <c r="A183" s="94" t="s">
        <v>396</v>
      </c>
      <c r="E183" s="91"/>
    </row>
    <row r="184" spans="1:5">
      <c r="A184" s="94" t="s">
        <v>397</v>
      </c>
      <c r="E184" s="91"/>
    </row>
    <row r="185" spans="1:5">
      <c r="A185" s="94" t="s">
        <v>398</v>
      </c>
      <c r="E185" s="91"/>
    </row>
    <row r="186" spans="1:5">
      <c r="A186" s="94" t="s">
        <v>399</v>
      </c>
      <c r="E186" s="91"/>
    </row>
    <row r="187" spans="1:5">
      <c r="A187" s="94" t="s">
        <v>400</v>
      </c>
      <c r="E187" s="91"/>
    </row>
    <row r="188" spans="1:5">
      <c r="A188" s="94" t="s">
        <v>401</v>
      </c>
      <c r="E188" s="91"/>
    </row>
    <row r="189" spans="1:5">
      <c r="A189" s="94" t="s">
        <v>402</v>
      </c>
      <c r="E189" s="91"/>
    </row>
    <row r="190" spans="1:5">
      <c r="A190" s="94" t="s">
        <v>403</v>
      </c>
      <c r="E190" s="91"/>
    </row>
    <row r="191" spans="1:5">
      <c r="A191" s="94" t="s">
        <v>404</v>
      </c>
      <c r="E191" s="91"/>
    </row>
    <row r="192" spans="1:5">
      <c r="A192" s="94"/>
      <c r="E192" s="91"/>
    </row>
    <row r="193" spans="1:5">
      <c r="A193" s="94"/>
      <c r="E193" s="91"/>
    </row>
    <row r="194" spans="1:5">
      <c r="A194" s="94"/>
      <c r="E194" s="91"/>
    </row>
    <row r="195" spans="1:5">
      <c r="A195" s="94"/>
      <c r="E195" s="91"/>
    </row>
  </sheetData>
  <autoFilter ref="A1:F137" xr:uid="{E19FE469-8306-465F-BB43-01C83C1508EB}"/>
  <conditionalFormatting sqref="D60:D73">
    <cfRule type="cellIs" dxfId="88" priority="10" operator="between">
      <formula>3.41</formula>
      <formula>5.99</formula>
    </cfRule>
    <cfRule type="cellIs" dxfId="87" priority="11" operator="lessThanOrEqual">
      <formula>3.4</formula>
    </cfRule>
    <cfRule type="cellIs" dxfId="86" priority="12" operator="greaterThanOrEqual">
      <formula>6</formula>
    </cfRule>
  </conditionalFormatting>
  <conditionalFormatting sqref="D2:D34 D36:D59">
    <cfRule type="cellIs" dxfId="85" priority="4" operator="between">
      <formula>3.41</formula>
      <formula>5.99</formula>
    </cfRule>
    <cfRule type="cellIs" dxfId="84" priority="5" operator="lessThanOrEqual">
      <formula>3.4</formula>
    </cfRule>
    <cfRule type="cellIs" dxfId="83" priority="6" operator="greaterThanOrEqual">
      <formula>6</formula>
    </cfRule>
  </conditionalFormatting>
  <conditionalFormatting sqref="D35">
    <cfRule type="cellIs" dxfId="82" priority="1" operator="between">
      <formula>3.41</formula>
      <formula>5.99</formula>
    </cfRule>
    <cfRule type="cellIs" dxfId="81" priority="2" operator="lessThanOrEqual">
      <formula>3.4</formula>
    </cfRule>
    <cfRule type="cellIs" dxfId="80" priority="3" operator="greaterThanOrEqual">
      <formula>6</formula>
    </cfRule>
  </conditionalFormatting>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B01213-E9E5-404B-B716-442C1C22FB30}">
  <sheetPr>
    <tabColor theme="5"/>
  </sheetPr>
  <dimension ref="A1:X357"/>
  <sheetViews>
    <sheetView topLeftCell="A168" workbookViewId="0">
      <selection activeCell="A175" sqref="A175"/>
    </sheetView>
  </sheetViews>
  <sheetFormatPr defaultRowHeight="14.45"/>
  <cols>
    <col min="1" max="1" width="15.140625" customWidth="1"/>
    <col min="2" max="2" width="30" customWidth="1"/>
    <col min="3" max="3" width="37" customWidth="1"/>
    <col min="4" max="4" width="23" customWidth="1"/>
    <col min="5" max="5" width="13.85546875" customWidth="1"/>
    <col min="6" max="6" width="6.42578125" customWidth="1"/>
    <col min="7" max="7" width="6.5703125" customWidth="1"/>
    <col min="8" max="8" width="6.28515625" customWidth="1"/>
    <col min="9" max="9" width="32.5703125" customWidth="1"/>
    <col min="10" max="10" width="5.85546875" customWidth="1"/>
    <col min="11" max="11" width="6.28515625" customWidth="1"/>
    <col min="12" max="12" width="6.140625" customWidth="1"/>
    <col min="13" max="13" width="30" customWidth="1"/>
    <col min="15" max="15" width="9" customWidth="1"/>
    <col min="16" max="16" width="22.5703125" customWidth="1"/>
    <col min="17" max="17" width="14.28515625" customWidth="1"/>
    <col min="18" max="18" width="13.7109375" customWidth="1"/>
    <col min="19" max="19" width="13.42578125" customWidth="1"/>
    <col min="20" max="20" width="10.28515625" customWidth="1"/>
    <col min="21" max="21" width="12.7109375" customWidth="1"/>
    <col min="22" max="22" width="11.42578125" customWidth="1"/>
    <col min="23" max="23" width="7.5703125" customWidth="1"/>
    <col min="24" max="24" width="12.5703125" customWidth="1"/>
  </cols>
  <sheetData>
    <row r="1" spans="1:24">
      <c r="A1" s="325"/>
      <c r="B1" s="326"/>
      <c r="C1" s="329" t="s">
        <v>405</v>
      </c>
      <c r="D1" s="330"/>
      <c r="E1" s="330"/>
      <c r="F1" s="330"/>
      <c r="G1" s="330"/>
      <c r="H1" s="330"/>
      <c r="I1" s="330"/>
      <c r="J1" s="330"/>
      <c r="K1" s="330"/>
      <c r="L1" s="330"/>
      <c r="M1" s="330"/>
      <c r="N1" s="330"/>
      <c r="O1" s="330"/>
      <c r="P1" s="330"/>
      <c r="Q1" s="330"/>
      <c r="R1" s="330"/>
      <c r="S1" s="330"/>
      <c r="T1" s="330"/>
      <c r="U1" s="330"/>
      <c r="V1" s="330"/>
      <c r="W1" s="331"/>
      <c r="X1" s="332" t="s">
        <v>406</v>
      </c>
    </row>
    <row r="2" spans="1:24">
      <c r="A2" s="327"/>
      <c r="B2" s="328"/>
      <c r="C2" s="329"/>
      <c r="D2" s="330"/>
      <c r="E2" s="330"/>
      <c r="F2" s="330"/>
      <c r="G2" s="330"/>
      <c r="H2" s="330"/>
      <c r="I2" s="330"/>
      <c r="J2" s="330"/>
      <c r="K2" s="330"/>
      <c r="L2" s="330"/>
      <c r="M2" s="330"/>
      <c r="N2" s="330"/>
      <c r="O2" s="330"/>
      <c r="P2" s="330"/>
      <c r="Q2" s="330"/>
      <c r="R2" s="330"/>
      <c r="S2" s="330"/>
      <c r="T2" s="330"/>
      <c r="U2" s="330"/>
      <c r="V2" s="330"/>
      <c r="W2" s="331"/>
      <c r="X2" s="333"/>
    </row>
    <row r="3" spans="1:24" ht="15" thickBot="1">
      <c r="A3" s="327"/>
      <c r="B3" s="328"/>
      <c r="C3" s="329"/>
      <c r="D3" s="330"/>
      <c r="E3" s="330"/>
      <c r="F3" s="330"/>
      <c r="G3" s="330"/>
      <c r="H3" s="330"/>
      <c r="I3" s="330"/>
      <c r="J3" s="330"/>
      <c r="K3" s="330"/>
      <c r="L3" s="330"/>
      <c r="M3" s="330"/>
      <c r="N3" s="330"/>
      <c r="O3" s="330"/>
      <c r="P3" s="330"/>
      <c r="Q3" s="330"/>
      <c r="R3" s="330"/>
      <c r="S3" s="330"/>
      <c r="T3" s="330"/>
      <c r="U3" s="330"/>
      <c r="V3" s="330"/>
      <c r="W3" s="331"/>
      <c r="X3" s="333"/>
    </row>
    <row r="4" spans="1:24" ht="27.75" customHeight="1">
      <c r="A4" s="334" t="s">
        <v>407</v>
      </c>
      <c r="B4" s="321" t="s">
        <v>408</v>
      </c>
      <c r="C4" s="321" t="s">
        <v>409</v>
      </c>
      <c r="D4" s="321" t="s">
        <v>410</v>
      </c>
      <c r="E4" s="321" t="s">
        <v>411</v>
      </c>
      <c r="F4" s="337" t="s">
        <v>412</v>
      </c>
      <c r="G4" s="337"/>
      <c r="H4" s="337"/>
      <c r="I4" s="337"/>
      <c r="J4" s="337" t="s">
        <v>413</v>
      </c>
      <c r="K4" s="337"/>
      <c r="L4" s="337"/>
      <c r="M4" s="337"/>
      <c r="N4" s="99"/>
      <c r="O4" s="321" t="s">
        <v>414</v>
      </c>
      <c r="P4" s="323" t="s">
        <v>415</v>
      </c>
      <c r="Q4" s="323"/>
      <c r="R4" s="323"/>
      <c r="S4" s="323"/>
      <c r="T4" s="323"/>
      <c r="U4" s="323"/>
      <c r="V4" s="323"/>
      <c r="W4" s="323"/>
      <c r="X4" s="324"/>
    </row>
    <row r="5" spans="1:24" ht="54.6" thickBot="1">
      <c r="A5" s="335"/>
      <c r="B5" s="336"/>
      <c r="C5" s="336"/>
      <c r="D5" s="336"/>
      <c r="E5" s="336"/>
      <c r="F5" s="100" t="s">
        <v>416</v>
      </c>
      <c r="G5" s="101" t="s">
        <v>417</v>
      </c>
      <c r="H5" s="101" t="s">
        <v>418</v>
      </c>
      <c r="I5" s="101" t="s">
        <v>419</v>
      </c>
      <c r="J5" s="101" t="s">
        <v>416</v>
      </c>
      <c r="K5" s="101" t="s">
        <v>417</v>
      </c>
      <c r="L5" s="100" t="s">
        <v>418</v>
      </c>
      <c r="M5" s="101" t="s">
        <v>419</v>
      </c>
      <c r="N5" s="102" t="s">
        <v>420</v>
      </c>
      <c r="O5" s="322"/>
      <c r="P5" s="103" t="s">
        <v>421</v>
      </c>
      <c r="Q5" s="104" t="s">
        <v>422</v>
      </c>
      <c r="R5" s="104" t="s">
        <v>423</v>
      </c>
      <c r="S5" s="104" t="s">
        <v>390</v>
      </c>
      <c r="T5" s="104" t="s">
        <v>424</v>
      </c>
      <c r="U5" s="104" t="s">
        <v>425</v>
      </c>
      <c r="V5" s="104" t="s">
        <v>426</v>
      </c>
      <c r="W5" s="104" t="s">
        <v>369</v>
      </c>
      <c r="X5" s="105" t="s">
        <v>427</v>
      </c>
    </row>
    <row r="6" spans="1:24" ht="48">
      <c r="A6" s="106" t="s">
        <v>428</v>
      </c>
      <c r="B6" s="107" t="s">
        <v>429</v>
      </c>
      <c r="C6" s="107" t="s">
        <v>430</v>
      </c>
      <c r="D6" s="106"/>
      <c r="E6" s="108"/>
      <c r="F6" s="109">
        <v>2</v>
      </c>
      <c r="G6" s="110" t="s">
        <v>431</v>
      </c>
      <c r="H6" s="111">
        <f t="shared" ref="H6:H69" si="0">(F6+G6)-1</f>
        <v>5</v>
      </c>
      <c r="I6" s="112" t="s">
        <v>432</v>
      </c>
      <c r="J6" s="113">
        <v>4</v>
      </c>
      <c r="K6" s="114">
        <v>4</v>
      </c>
      <c r="L6" s="111">
        <f t="shared" ref="L6:L30" si="1">(J6+K6)-1</f>
        <v>7</v>
      </c>
      <c r="M6" s="112" t="s">
        <v>433</v>
      </c>
      <c r="N6" s="111">
        <v>7</v>
      </c>
      <c r="O6" s="111" t="s">
        <v>31</v>
      </c>
      <c r="P6" s="115"/>
      <c r="Q6" s="116"/>
      <c r="R6" s="116"/>
      <c r="S6" s="116"/>
      <c r="T6" s="116"/>
      <c r="U6" s="116"/>
      <c r="V6" s="116" t="s">
        <v>434</v>
      </c>
      <c r="W6" s="116"/>
      <c r="X6" s="117"/>
    </row>
    <row r="7" spans="1:24" ht="24">
      <c r="A7" s="118" t="s">
        <v>435</v>
      </c>
      <c r="B7" s="119" t="s">
        <v>436</v>
      </c>
      <c r="C7" s="119" t="s">
        <v>437</v>
      </c>
      <c r="D7" s="118"/>
      <c r="E7" s="120" t="s">
        <v>438</v>
      </c>
      <c r="F7" s="121">
        <v>2</v>
      </c>
      <c r="G7" s="122">
        <v>2</v>
      </c>
      <c r="H7" s="123">
        <f t="shared" si="0"/>
        <v>3</v>
      </c>
      <c r="I7" s="124" t="s">
        <v>439</v>
      </c>
      <c r="J7" s="125">
        <v>4</v>
      </c>
      <c r="K7" s="122">
        <v>4</v>
      </c>
      <c r="L7" s="111">
        <f t="shared" si="1"/>
        <v>7</v>
      </c>
      <c r="M7" s="124" t="s">
        <v>440</v>
      </c>
      <c r="N7" s="111">
        <v>7</v>
      </c>
      <c r="O7" s="111" t="s">
        <v>31</v>
      </c>
      <c r="P7" s="126"/>
      <c r="Q7" s="127" t="s">
        <v>441</v>
      </c>
      <c r="R7" s="127"/>
      <c r="S7" s="127" t="s">
        <v>441</v>
      </c>
      <c r="T7" s="127"/>
      <c r="U7" s="127"/>
      <c r="V7" s="127" t="s">
        <v>441</v>
      </c>
      <c r="W7" s="127" t="s">
        <v>441</v>
      </c>
      <c r="X7" s="128"/>
    </row>
    <row r="8" spans="1:24" ht="60">
      <c r="A8" s="118" t="s">
        <v>435</v>
      </c>
      <c r="B8" s="119" t="s">
        <v>192</v>
      </c>
      <c r="C8" s="119" t="s">
        <v>442</v>
      </c>
      <c r="D8" s="118"/>
      <c r="E8" s="120" t="s">
        <v>443</v>
      </c>
      <c r="F8" s="121">
        <v>1</v>
      </c>
      <c r="G8" s="122">
        <v>2</v>
      </c>
      <c r="H8" s="123">
        <f t="shared" si="0"/>
        <v>2</v>
      </c>
      <c r="I8" s="124" t="s">
        <v>444</v>
      </c>
      <c r="J8" s="125">
        <v>4</v>
      </c>
      <c r="K8" s="122">
        <v>4</v>
      </c>
      <c r="L8" s="111">
        <f t="shared" si="1"/>
        <v>7</v>
      </c>
      <c r="M8" s="124" t="s">
        <v>440</v>
      </c>
      <c r="N8" s="111">
        <v>7</v>
      </c>
      <c r="O8" s="111" t="s">
        <v>31</v>
      </c>
      <c r="P8" s="126"/>
      <c r="Q8" s="127" t="s">
        <v>441</v>
      </c>
      <c r="R8" s="127"/>
      <c r="S8" s="127"/>
      <c r="T8" s="127" t="s">
        <v>441</v>
      </c>
      <c r="U8" s="127" t="s">
        <v>441</v>
      </c>
      <c r="V8" s="127" t="s">
        <v>441</v>
      </c>
      <c r="W8" s="127" t="s">
        <v>441</v>
      </c>
      <c r="X8" s="128"/>
    </row>
    <row r="9" spans="1:24" ht="48">
      <c r="A9" s="118" t="s">
        <v>435</v>
      </c>
      <c r="B9" s="119" t="s">
        <v>445</v>
      </c>
      <c r="C9" s="119" t="s">
        <v>446</v>
      </c>
      <c r="D9" s="118"/>
      <c r="E9" s="120" t="s">
        <v>447</v>
      </c>
      <c r="F9" s="121">
        <v>2</v>
      </c>
      <c r="G9" s="122">
        <v>3</v>
      </c>
      <c r="H9" s="123">
        <f t="shared" si="0"/>
        <v>4</v>
      </c>
      <c r="I9" s="124" t="s">
        <v>448</v>
      </c>
      <c r="J9" s="125">
        <v>4</v>
      </c>
      <c r="K9" s="122">
        <v>4</v>
      </c>
      <c r="L9" s="111">
        <f t="shared" si="1"/>
        <v>7</v>
      </c>
      <c r="M9" s="124" t="s">
        <v>449</v>
      </c>
      <c r="N9" s="111">
        <v>7</v>
      </c>
      <c r="O9" s="111" t="s">
        <v>31</v>
      </c>
      <c r="P9" s="126"/>
      <c r="Q9" s="127"/>
      <c r="R9" s="127"/>
      <c r="S9" s="127"/>
      <c r="T9" s="127"/>
      <c r="U9" s="127"/>
      <c r="V9" s="127" t="s">
        <v>441</v>
      </c>
      <c r="W9" s="127" t="s">
        <v>441</v>
      </c>
      <c r="X9" s="128"/>
    </row>
    <row r="10" spans="1:24" ht="36">
      <c r="A10" s="118" t="s">
        <v>450</v>
      </c>
      <c r="B10" s="119" t="s">
        <v>451</v>
      </c>
      <c r="C10" s="119" t="s">
        <v>452</v>
      </c>
      <c r="D10" s="118"/>
      <c r="E10" s="129"/>
      <c r="F10" s="121">
        <v>4</v>
      </c>
      <c r="G10" s="122">
        <v>4</v>
      </c>
      <c r="H10" s="123">
        <f t="shared" si="0"/>
        <v>7</v>
      </c>
      <c r="I10" s="124" t="s">
        <v>453</v>
      </c>
      <c r="J10" s="125">
        <v>3</v>
      </c>
      <c r="K10" s="122">
        <v>4</v>
      </c>
      <c r="L10" s="111">
        <f t="shared" si="1"/>
        <v>6</v>
      </c>
      <c r="M10" s="124" t="s">
        <v>454</v>
      </c>
      <c r="N10" s="111">
        <v>7</v>
      </c>
      <c r="O10" s="111" t="s">
        <v>31</v>
      </c>
      <c r="P10" s="126"/>
      <c r="Q10" s="127" t="s">
        <v>441</v>
      </c>
      <c r="R10" s="127"/>
      <c r="S10" s="127"/>
      <c r="T10" s="127"/>
      <c r="U10" s="127"/>
      <c r="V10" s="127" t="s">
        <v>441</v>
      </c>
      <c r="W10" s="127" t="s">
        <v>441</v>
      </c>
      <c r="X10" s="128"/>
    </row>
    <row r="11" spans="1:24" ht="48">
      <c r="A11" s="130" t="s">
        <v>428</v>
      </c>
      <c r="B11" s="131" t="s">
        <v>455</v>
      </c>
      <c r="C11" s="131" t="s">
        <v>456</v>
      </c>
      <c r="D11" s="132"/>
      <c r="E11" s="133"/>
      <c r="F11" s="121">
        <v>2</v>
      </c>
      <c r="G11" s="122">
        <v>4</v>
      </c>
      <c r="H11" s="123">
        <f t="shared" si="0"/>
        <v>5</v>
      </c>
      <c r="I11" s="124" t="s">
        <v>432</v>
      </c>
      <c r="J11" s="125">
        <v>4</v>
      </c>
      <c r="K11" s="122">
        <v>4</v>
      </c>
      <c r="L11" s="111">
        <f t="shared" si="1"/>
        <v>7</v>
      </c>
      <c r="M11" s="124" t="s">
        <v>433</v>
      </c>
      <c r="N11" s="111">
        <v>7</v>
      </c>
      <c r="O11" s="111" t="s">
        <v>31</v>
      </c>
      <c r="P11" s="126"/>
      <c r="Q11" s="127"/>
      <c r="R11" s="127"/>
      <c r="S11" s="127"/>
      <c r="T11" s="127"/>
      <c r="U11" s="127"/>
      <c r="V11" s="127" t="s">
        <v>441</v>
      </c>
      <c r="W11" s="127"/>
      <c r="X11" s="128"/>
    </row>
    <row r="12" spans="1:24" ht="60">
      <c r="A12" s="130" t="s">
        <v>428</v>
      </c>
      <c r="B12" s="131" t="s">
        <v>457</v>
      </c>
      <c r="C12" s="131" t="s">
        <v>458</v>
      </c>
      <c r="D12" s="132"/>
      <c r="E12" s="133"/>
      <c r="F12" s="121">
        <v>2</v>
      </c>
      <c r="G12" s="122">
        <v>4</v>
      </c>
      <c r="H12" s="123">
        <f t="shared" si="0"/>
        <v>5</v>
      </c>
      <c r="I12" s="124" t="s">
        <v>432</v>
      </c>
      <c r="J12" s="125">
        <v>4</v>
      </c>
      <c r="K12" s="122">
        <v>4</v>
      </c>
      <c r="L12" s="111">
        <f t="shared" si="1"/>
        <v>7</v>
      </c>
      <c r="M12" s="124" t="s">
        <v>433</v>
      </c>
      <c r="N12" s="111">
        <v>7</v>
      </c>
      <c r="O12" s="111" t="s">
        <v>31</v>
      </c>
      <c r="P12" s="126"/>
      <c r="Q12" s="127"/>
      <c r="R12" s="127"/>
      <c r="S12" s="127"/>
      <c r="T12" s="127"/>
      <c r="U12" s="127"/>
      <c r="V12" s="127" t="s">
        <v>441</v>
      </c>
      <c r="W12" s="127"/>
      <c r="X12" s="128"/>
    </row>
    <row r="13" spans="1:24" ht="60">
      <c r="A13" s="130" t="s">
        <v>428</v>
      </c>
      <c r="B13" s="131" t="s">
        <v>459</v>
      </c>
      <c r="C13" s="131" t="s">
        <v>460</v>
      </c>
      <c r="D13" s="132"/>
      <c r="E13" s="133"/>
      <c r="F13" s="121">
        <v>2</v>
      </c>
      <c r="G13" s="122">
        <v>4</v>
      </c>
      <c r="H13" s="123">
        <f t="shared" si="0"/>
        <v>5</v>
      </c>
      <c r="I13" s="124" t="s">
        <v>432</v>
      </c>
      <c r="J13" s="125">
        <v>4</v>
      </c>
      <c r="K13" s="122">
        <v>4</v>
      </c>
      <c r="L13" s="111">
        <f t="shared" si="1"/>
        <v>7</v>
      </c>
      <c r="M13" s="124" t="s">
        <v>433</v>
      </c>
      <c r="N13" s="111">
        <v>7</v>
      </c>
      <c r="O13" s="111" t="s">
        <v>31</v>
      </c>
      <c r="P13" s="126"/>
      <c r="Q13" s="127"/>
      <c r="R13" s="127"/>
      <c r="S13" s="127"/>
      <c r="T13" s="127"/>
      <c r="U13" s="127"/>
      <c r="V13" s="127" t="s">
        <v>441</v>
      </c>
      <c r="W13" s="127"/>
      <c r="X13" s="128"/>
    </row>
    <row r="14" spans="1:24" ht="60">
      <c r="A14" s="118" t="s">
        <v>428</v>
      </c>
      <c r="B14" s="131" t="s">
        <v>459</v>
      </c>
      <c r="C14" s="131" t="s">
        <v>461</v>
      </c>
      <c r="D14" s="134"/>
      <c r="E14" s="129"/>
      <c r="F14" s="121">
        <v>2</v>
      </c>
      <c r="G14" s="122">
        <v>4</v>
      </c>
      <c r="H14" s="123">
        <f t="shared" si="0"/>
        <v>5</v>
      </c>
      <c r="I14" s="135" t="s">
        <v>462</v>
      </c>
      <c r="J14" s="125">
        <v>4</v>
      </c>
      <c r="K14" s="122">
        <v>4</v>
      </c>
      <c r="L14" s="111">
        <f t="shared" si="1"/>
        <v>7</v>
      </c>
      <c r="M14" s="124" t="s">
        <v>433</v>
      </c>
      <c r="N14" s="111">
        <v>7</v>
      </c>
      <c r="O14" s="111" t="s">
        <v>31</v>
      </c>
      <c r="P14" s="136"/>
      <c r="Q14" s="127"/>
      <c r="R14" s="127"/>
      <c r="S14" s="127"/>
      <c r="T14" s="127"/>
      <c r="U14" s="127"/>
      <c r="V14" s="127" t="s">
        <v>441</v>
      </c>
      <c r="W14" s="127"/>
      <c r="X14" s="128"/>
    </row>
    <row r="15" spans="1:24" ht="48">
      <c r="A15" s="118" t="s">
        <v>450</v>
      </c>
      <c r="B15" s="119" t="s">
        <v>463</v>
      </c>
      <c r="C15" s="119" t="s">
        <v>464</v>
      </c>
      <c r="D15" s="118"/>
      <c r="E15" s="129"/>
      <c r="F15" s="121">
        <v>2</v>
      </c>
      <c r="G15" s="122">
        <v>3</v>
      </c>
      <c r="H15" s="123">
        <f t="shared" si="0"/>
        <v>4</v>
      </c>
      <c r="I15" s="124" t="s">
        <v>465</v>
      </c>
      <c r="J15" s="125">
        <v>4</v>
      </c>
      <c r="K15" s="122">
        <v>3</v>
      </c>
      <c r="L15" s="111">
        <f t="shared" si="1"/>
        <v>6</v>
      </c>
      <c r="M15" s="124" t="s">
        <v>466</v>
      </c>
      <c r="N15" s="111">
        <v>6</v>
      </c>
      <c r="O15" s="111" t="s">
        <v>31</v>
      </c>
      <c r="P15" s="136"/>
      <c r="Q15" s="127"/>
      <c r="R15" s="127"/>
      <c r="S15" s="127"/>
      <c r="T15" s="127"/>
      <c r="U15" s="127"/>
      <c r="V15" s="127" t="s">
        <v>441</v>
      </c>
      <c r="W15" s="127" t="s">
        <v>441</v>
      </c>
      <c r="X15" s="128"/>
    </row>
    <row r="16" spans="1:24" ht="60">
      <c r="A16" s="118" t="s">
        <v>450</v>
      </c>
      <c r="B16" s="119" t="s">
        <v>467</v>
      </c>
      <c r="C16" s="119" t="s">
        <v>468</v>
      </c>
      <c r="D16" s="118"/>
      <c r="E16" s="129"/>
      <c r="F16" s="121">
        <v>4</v>
      </c>
      <c r="G16" s="122">
        <v>3</v>
      </c>
      <c r="H16" s="123">
        <f t="shared" si="0"/>
        <v>6</v>
      </c>
      <c r="I16" s="124" t="s">
        <v>469</v>
      </c>
      <c r="J16" s="125">
        <v>4</v>
      </c>
      <c r="K16" s="122">
        <v>3</v>
      </c>
      <c r="L16" s="111">
        <f t="shared" si="1"/>
        <v>6</v>
      </c>
      <c r="M16" s="124" t="s">
        <v>469</v>
      </c>
      <c r="N16" s="111">
        <v>6</v>
      </c>
      <c r="O16" s="111" t="s">
        <v>31</v>
      </c>
      <c r="P16" s="136"/>
      <c r="Q16" s="127"/>
      <c r="R16" s="127"/>
      <c r="S16" s="127"/>
      <c r="T16" s="127"/>
      <c r="U16" s="127"/>
      <c r="V16" s="127"/>
      <c r="W16" s="127" t="s">
        <v>441</v>
      </c>
      <c r="X16" s="128"/>
    </row>
    <row r="17" spans="1:24" ht="60">
      <c r="A17" s="118" t="s">
        <v>435</v>
      </c>
      <c r="B17" s="119" t="s">
        <v>470</v>
      </c>
      <c r="C17" s="119" t="s">
        <v>471</v>
      </c>
      <c r="D17" s="118"/>
      <c r="E17" s="129"/>
      <c r="F17" s="121">
        <v>4</v>
      </c>
      <c r="G17" s="122">
        <v>2</v>
      </c>
      <c r="H17" s="123">
        <f t="shared" si="0"/>
        <v>5</v>
      </c>
      <c r="I17" s="124" t="s">
        <v>472</v>
      </c>
      <c r="J17" s="125">
        <v>4</v>
      </c>
      <c r="K17" s="122">
        <v>3</v>
      </c>
      <c r="L17" s="111">
        <f t="shared" si="1"/>
        <v>6</v>
      </c>
      <c r="M17" s="124" t="s">
        <v>473</v>
      </c>
      <c r="N17" s="111">
        <v>6</v>
      </c>
      <c r="O17" s="111" t="s">
        <v>31</v>
      </c>
      <c r="P17" s="136"/>
      <c r="Q17" s="127"/>
      <c r="R17" s="127"/>
      <c r="S17" s="127"/>
      <c r="T17" s="127" t="s">
        <v>441</v>
      </c>
      <c r="U17" s="127" t="s">
        <v>441</v>
      </c>
      <c r="V17" s="127" t="s">
        <v>441</v>
      </c>
      <c r="W17" s="127" t="s">
        <v>441</v>
      </c>
      <c r="X17" s="128"/>
    </row>
    <row r="18" spans="1:24" ht="36">
      <c r="A18" s="118" t="s">
        <v>435</v>
      </c>
      <c r="B18" s="119" t="s">
        <v>474</v>
      </c>
      <c r="C18" s="119" t="s">
        <v>475</v>
      </c>
      <c r="D18" s="118"/>
      <c r="E18" s="120" t="s">
        <v>476</v>
      </c>
      <c r="F18" s="121">
        <v>3</v>
      </c>
      <c r="G18" s="122">
        <v>2</v>
      </c>
      <c r="H18" s="123">
        <f t="shared" si="0"/>
        <v>4</v>
      </c>
      <c r="I18" s="124" t="s">
        <v>477</v>
      </c>
      <c r="J18" s="125">
        <v>4</v>
      </c>
      <c r="K18" s="122">
        <v>3</v>
      </c>
      <c r="L18" s="111">
        <f t="shared" si="1"/>
        <v>6</v>
      </c>
      <c r="M18" s="124" t="s">
        <v>478</v>
      </c>
      <c r="N18" s="111">
        <v>6</v>
      </c>
      <c r="O18" s="111" t="s">
        <v>31</v>
      </c>
      <c r="P18" s="136"/>
      <c r="Q18" s="127"/>
      <c r="R18" s="127"/>
      <c r="S18" s="127"/>
      <c r="T18" s="127"/>
      <c r="U18" s="127"/>
      <c r="V18" s="127"/>
      <c r="W18" s="127"/>
      <c r="X18" s="128"/>
    </row>
    <row r="19" spans="1:24" ht="48">
      <c r="A19" s="118" t="s">
        <v>435</v>
      </c>
      <c r="B19" s="119" t="s">
        <v>479</v>
      </c>
      <c r="C19" s="119" t="s">
        <v>480</v>
      </c>
      <c r="D19" s="118"/>
      <c r="E19" s="120" t="s">
        <v>481</v>
      </c>
      <c r="F19" s="121">
        <v>2</v>
      </c>
      <c r="G19" s="122">
        <v>3</v>
      </c>
      <c r="H19" s="123">
        <f t="shared" si="0"/>
        <v>4</v>
      </c>
      <c r="I19" s="124" t="s">
        <v>482</v>
      </c>
      <c r="J19" s="125">
        <v>4</v>
      </c>
      <c r="K19" s="122">
        <v>3</v>
      </c>
      <c r="L19" s="111">
        <f t="shared" si="1"/>
        <v>6</v>
      </c>
      <c r="M19" s="124" t="s">
        <v>483</v>
      </c>
      <c r="N19" s="111">
        <v>6</v>
      </c>
      <c r="O19" s="111" t="s">
        <v>31</v>
      </c>
      <c r="P19" s="136"/>
      <c r="Q19" s="127"/>
      <c r="R19" s="127"/>
      <c r="S19" s="127"/>
      <c r="T19" s="127"/>
      <c r="U19" s="127"/>
      <c r="V19" s="127"/>
      <c r="W19" s="127"/>
      <c r="X19" s="128"/>
    </row>
    <row r="20" spans="1:24" ht="48">
      <c r="A20" s="118" t="s">
        <v>435</v>
      </c>
      <c r="B20" s="119" t="s">
        <v>484</v>
      </c>
      <c r="C20" s="119" t="s">
        <v>480</v>
      </c>
      <c r="D20" s="118"/>
      <c r="E20" s="120" t="s">
        <v>481</v>
      </c>
      <c r="F20" s="121">
        <v>2</v>
      </c>
      <c r="G20" s="122">
        <v>3</v>
      </c>
      <c r="H20" s="123">
        <f t="shared" si="0"/>
        <v>4</v>
      </c>
      <c r="I20" s="124" t="s">
        <v>482</v>
      </c>
      <c r="J20" s="125">
        <v>4</v>
      </c>
      <c r="K20" s="122">
        <v>3</v>
      </c>
      <c r="L20" s="111">
        <f t="shared" si="1"/>
        <v>6</v>
      </c>
      <c r="M20" s="124" t="s">
        <v>483</v>
      </c>
      <c r="N20" s="111">
        <v>6</v>
      </c>
      <c r="O20" s="111" t="s">
        <v>31</v>
      </c>
      <c r="P20" s="136"/>
      <c r="Q20" s="127"/>
      <c r="R20" s="127"/>
      <c r="S20" s="127"/>
      <c r="T20" s="127" t="s">
        <v>441</v>
      </c>
      <c r="U20" s="127" t="s">
        <v>441</v>
      </c>
      <c r="V20" s="127" t="s">
        <v>441</v>
      </c>
      <c r="W20" s="127" t="s">
        <v>441</v>
      </c>
      <c r="X20" s="128"/>
    </row>
    <row r="21" spans="1:24" ht="72">
      <c r="A21" s="118" t="s">
        <v>435</v>
      </c>
      <c r="B21" s="119" t="s">
        <v>485</v>
      </c>
      <c r="C21" s="119" t="s">
        <v>486</v>
      </c>
      <c r="D21" s="118"/>
      <c r="E21" s="120" t="s">
        <v>487</v>
      </c>
      <c r="F21" s="121">
        <v>2</v>
      </c>
      <c r="G21" s="122">
        <v>2</v>
      </c>
      <c r="H21" s="123">
        <f t="shared" si="0"/>
        <v>3</v>
      </c>
      <c r="I21" s="124" t="s">
        <v>488</v>
      </c>
      <c r="J21" s="125">
        <v>4</v>
      </c>
      <c r="K21" s="122">
        <v>3</v>
      </c>
      <c r="L21" s="111">
        <f t="shared" si="1"/>
        <v>6</v>
      </c>
      <c r="M21" s="124" t="s">
        <v>489</v>
      </c>
      <c r="N21" s="111">
        <v>6</v>
      </c>
      <c r="O21" s="111" t="s">
        <v>31</v>
      </c>
      <c r="P21" s="136"/>
      <c r="Q21" s="128"/>
      <c r="R21" s="128"/>
      <c r="S21" s="128"/>
      <c r="T21" s="128"/>
      <c r="U21" s="128" t="s">
        <v>441</v>
      </c>
      <c r="V21" s="128" t="s">
        <v>441</v>
      </c>
      <c r="W21" s="128" t="s">
        <v>441</v>
      </c>
      <c r="X21" s="128"/>
    </row>
    <row r="22" spans="1:24" ht="36">
      <c r="A22" s="118" t="s">
        <v>435</v>
      </c>
      <c r="B22" s="119" t="s">
        <v>490</v>
      </c>
      <c r="C22" s="119" t="s">
        <v>491</v>
      </c>
      <c r="D22" s="118"/>
      <c r="E22" s="129"/>
      <c r="F22" s="121">
        <v>2</v>
      </c>
      <c r="G22" s="122">
        <v>3</v>
      </c>
      <c r="H22" s="123">
        <f t="shared" si="0"/>
        <v>4</v>
      </c>
      <c r="I22" s="124" t="s">
        <v>482</v>
      </c>
      <c r="J22" s="125">
        <v>4</v>
      </c>
      <c r="K22" s="122">
        <v>3</v>
      </c>
      <c r="L22" s="111">
        <f t="shared" si="1"/>
        <v>6</v>
      </c>
      <c r="M22" s="124" t="s">
        <v>473</v>
      </c>
      <c r="N22" s="111">
        <v>6</v>
      </c>
      <c r="O22" s="111" t="s">
        <v>31</v>
      </c>
      <c r="P22" s="136"/>
      <c r="Q22" s="128"/>
      <c r="R22" s="128"/>
      <c r="S22" s="128"/>
      <c r="T22" s="128"/>
      <c r="U22" s="128"/>
      <c r="V22" s="128"/>
      <c r="W22" s="128"/>
      <c r="X22" s="128"/>
    </row>
    <row r="23" spans="1:24" ht="48">
      <c r="A23" s="118" t="s">
        <v>435</v>
      </c>
      <c r="B23" s="119" t="s">
        <v>492</v>
      </c>
      <c r="C23" s="119" t="s">
        <v>493</v>
      </c>
      <c r="D23" s="118"/>
      <c r="E23" s="129"/>
      <c r="F23" s="121">
        <v>2</v>
      </c>
      <c r="G23" s="122">
        <v>3</v>
      </c>
      <c r="H23" s="123">
        <f t="shared" si="0"/>
        <v>4</v>
      </c>
      <c r="I23" s="124" t="s">
        <v>494</v>
      </c>
      <c r="J23" s="125">
        <v>4</v>
      </c>
      <c r="K23" s="122">
        <v>3</v>
      </c>
      <c r="L23" s="111">
        <f t="shared" si="1"/>
        <v>6</v>
      </c>
      <c r="M23" s="124" t="s">
        <v>449</v>
      </c>
      <c r="N23" s="111">
        <v>6</v>
      </c>
      <c r="O23" s="111" t="s">
        <v>31</v>
      </c>
      <c r="P23" s="136"/>
      <c r="Q23" s="128"/>
      <c r="R23" s="128"/>
      <c r="S23" s="128"/>
      <c r="T23" s="128"/>
      <c r="U23" s="128"/>
      <c r="V23" s="128"/>
      <c r="W23" s="128"/>
      <c r="X23" s="128"/>
    </row>
    <row r="24" spans="1:24" ht="36">
      <c r="A24" s="118" t="s">
        <v>435</v>
      </c>
      <c r="B24" s="119" t="s">
        <v>495</v>
      </c>
      <c r="C24" s="119" t="s">
        <v>496</v>
      </c>
      <c r="D24" s="134"/>
      <c r="E24" s="129"/>
      <c r="F24" s="121">
        <v>2</v>
      </c>
      <c r="G24" s="122">
        <v>2</v>
      </c>
      <c r="H24" s="123">
        <f t="shared" si="0"/>
        <v>3</v>
      </c>
      <c r="I24" s="124" t="s">
        <v>482</v>
      </c>
      <c r="J24" s="125">
        <v>4</v>
      </c>
      <c r="K24" s="122">
        <v>3</v>
      </c>
      <c r="L24" s="111">
        <f t="shared" si="1"/>
        <v>6</v>
      </c>
      <c r="M24" s="124" t="s">
        <v>497</v>
      </c>
      <c r="N24" s="111">
        <v>6</v>
      </c>
      <c r="O24" s="111" t="s">
        <v>31</v>
      </c>
      <c r="P24" s="136"/>
      <c r="Q24" s="128"/>
      <c r="R24" s="128"/>
      <c r="S24" s="128"/>
      <c r="T24" s="128"/>
      <c r="U24" s="128"/>
      <c r="V24" s="128"/>
      <c r="W24" s="128"/>
      <c r="X24" s="128"/>
    </row>
    <row r="25" spans="1:24" ht="60">
      <c r="A25" s="118" t="s">
        <v>435</v>
      </c>
      <c r="B25" s="119" t="s">
        <v>498</v>
      </c>
      <c r="C25" s="119" t="s">
        <v>499</v>
      </c>
      <c r="D25" s="118"/>
      <c r="E25" s="129"/>
      <c r="F25" s="121">
        <v>2</v>
      </c>
      <c r="G25" s="122">
        <v>3</v>
      </c>
      <c r="H25" s="123">
        <f t="shared" si="0"/>
        <v>4</v>
      </c>
      <c r="I25" s="124" t="s">
        <v>500</v>
      </c>
      <c r="J25" s="125">
        <v>4</v>
      </c>
      <c r="K25" s="122">
        <v>3</v>
      </c>
      <c r="L25" s="111">
        <f t="shared" si="1"/>
        <v>6</v>
      </c>
      <c r="M25" s="124" t="s">
        <v>501</v>
      </c>
      <c r="N25" s="111">
        <v>6</v>
      </c>
      <c r="O25" s="111" t="s">
        <v>31</v>
      </c>
      <c r="P25" s="136"/>
      <c r="Q25" s="128"/>
      <c r="R25" s="128"/>
      <c r="S25" s="128"/>
      <c r="T25" s="128"/>
      <c r="U25" s="128"/>
      <c r="V25" s="128"/>
      <c r="W25" s="128"/>
      <c r="X25" s="128"/>
    </row>
    <row r="26" spans="1:24" ht="60">
      <c r="A26" s="118" t="s">
        <v>435</v>
      </c>
      <c r="B26" s="119" t="s">
        <v>502</v>
      </c>
      <c r="C26" s="119" t="s">
        <v>503</v>
      </c>
      <c r="D26" s="134"/>
      <c r="E26" s="129"/>
      <c r="F26" s="121">
        <v>2</v>
      </c>
      <c r="G26" s="122">
        <v>3</v>
      </c>
      <c r="H26" s="123">
        <f t="shared" si="0"/>
        <v>4</v>
      </c>
      <c r="I26" s="124" t="s">
        <v>504</v>
      </c>
      <c r="J26" s="125">
        <v>4</v>
      </c>
      <c r="K26" s="122">
        <v>3</v>
      </c>
      <c r="L26" s="111">
        <f t="shared" si="1"/>
        <v>6</v>
      </c>
      <c r="M26" s="124" t="s">
        <v>505</v>
      </c>
      <c r="N26" s="111">
        <v>6</v>
      </c>
      <c r="O26" s="111" t="s">
        <v>31</v>
      </c>
      <c r="P26" s="136"/>
      <c r="Q26" s="128"/>
      <c r="R26" s="128"/>
      <c r="S26" s="128"/>
      <c r="T26" s="128"/>
      <c r="U26" s="128"/>
      <c r="V26" s="128"/>
      <c r="W26" s="128"/>
      <c r="X26" s="128"/>
    </row>
    <row r="27" spans="1:24" ht="48">
      <c r="A27" s="118" t="s">
        <v>435</v>
      </c>
      <c r="B27" s="119" t="s">
        <v>506</v>
      </c>
      <c r="C27" s="119" t="s">
        <v>507</v>
      </c>
      <c r="D27" s="118"/>
      <c r="E27" s="129"/>
      <c r="F27" s="121">
        <v>2</v>
      </c>
      <c r="G27" s="122">
        <v>3</v>
      </c>
      <c r="H27" s="123">
        <f t="shared" si="0"/>
        <v>4</v>
      </c>
      <c r="I27" s="124" t="s">
        <v>500</v>
      </c>
      <c r="J27" s="125">
        <v>4</v>
      </c>
      <c r="K27" s="122">
        <v>3</v>
      </c>
      <c r="L27" s="111">
        <f t="shared" si="1"/>
        <v>6</v>
      </c>
      <c r="M27" s="124" t="s">
        <v>508</v>
      </c>
      <c r="N27" s="111">
        <v>6</v>
      </c>
      <c r="O27" s="111" t="s">
        <v>31</v>
      </c>
      <c r="P27" s="136"/>
      <c r="Q27" s="128"/>
      <c r="R27" s="128"/>
      <c r="S27" s="128"/>
      <c r="T27" s="128"/>
      <c r="U27" s="128"/>
      <c r="V27" s="128"/>
      <c r="W27" s="128"/>
      <c r="X27" s="128"/>
    </row>
    <row r="28" spans="1:24" ht="48">
      <c r="A28" s="118" t="s">
        <v>435</v>
      </c>
      <c r="B28" s="119" t="s">
        <v>509</v>
      </c>
      <c r="C28" s="119" t="s">
        <v>507</v>
      </c>
      <c r="D28" s="134"/>
      <c r="E28" s="129"/>
      <c r="F28" s="121">
        <v>2</v>
      </c>
      <c r="G28" s="122">
        <v>3</v>
      </c>
      <c r="H28" s="123">
        <f t="shared" si="0"/>
        <v>4</v>
      </c>
      <c r="I28" s="124" t="s">
        <v>444</v>
      </c>
      <c r="J28" s="125">
        <v>4</v>
      </c>
      <c r="K28" s="122">
        <v>3</v>
      </c>
      <c r="L28" s="111">
        <f t="shared" si="1"/>
        <v>6</v>
      </c>
      <c r="M28" s="124" t="s">
        <v>508</v>
      </c>
      <c r="N28" s="111">
        <v>6</v>
      </c>
      <c r="O28" s="111" t="s">
        <v>31</v>
      </c>
      <c r="P28" s="136"/>
      <c r="Q28" s="128"/>
      <c r="R28" s="128"/>
      <c r="S28" s="128"/>
      <c r="T28" s="128"/>
      <c r="U28" s="128"/>
      <c r="V28" s="128"/>
      <c r="W28" s="128"/>
      <c r="X28" s="128"/>
    </row>
    <row r="29" spans="1:24" ht="48">
      <c r="A29" s="118" t="s">
        <v>435</v>
      </c>
      <c r="B29" s="119" t="s">
        <v>510</v>
      </c>
      <c r="C29" s="119" t="s">
        <v>507</v>
      </c>
      <c r="D29" s="134"/>
      <c r="E29" s="129"/>
      <c r="F29" s="121">
        <v>2</v>
      </c>
      <c r="G29" s="122">
        <v>3</v>
      </c>
      <c r="H29" s="123">
        <f t="shared" si="0"/>
        <v>4</v>
      </c>
      <c r="I29" s="124" t="s">
        <v>500</v>
      </c>
      <c r="J29" s="125">
        <v>4</v>
      </c>
      <c r="K29" s="122">
        <v>3</v>
      </c>
      <c r="L29" s="111">
        <f t="shared" si="1"/>
        <v>6</v>
      </c>
      <c r="M29" s="124" t="s">
        <v>508</v>
      </c>
      <c r="N29" s="111">
        <v>6</v>
      </c>
      <c r="O29" s="111" t="s">
        <v>31</v>
      </c>
      <c r="P29" s="136"/>
      <c r="Q29" s="128"/>
      <c r="R29" s="128"/>
      <c r="S29" s="128"/>
      <c r="T29" s="128"/>
      <c r="U29" s="128"/>
      <c r="V29" s="128"/>
      <c r="W29" s="128"/>
      <c r="X29" s="128"/>
    </row>
    <row r="30" spans="1:24" ht="48">
      <c r="A30" s="118" t="s">
        <v>435</v>
      </c>
      <c r="B30" s="119" t="s">
        <v>511</v>
      </c>
      <c r="C30" s="119" t="s">
        <v>507</v>
      </c>
      <c r="D30" s="134"/>
      <c r="E30" s="129"/>
      <c r="F30" s="121">
        <v>2</v>
      </c>
      <c r="G30" s="122">
        <v>3</v>
      </c>
      <c r="H30" s="123">
        <f t="shared" si="0"/>
        <v>4</v>
      </c>
      <c r="I30" s="124" t="s">
        <v>444</v>
      </c>
      <c r="J30" s="125">
        <v>4</v>
      </c>
      <c r="K30" s="122">
        <v>3</v>
      </c>
      <c r="L30" s="111">
        <f t="shared" si="1"/>
        <v>6</v>
      </c>
      <c r="M30" s="124" t="s">
        <v>508</v>
      </c>
      <c r="N30" s="111">
        <v>6</v>
      </c>
      <c r="O30" s="111" t="s">
        <v>31</v>
      </c>
      <c r="P30" s="136"/>
      <c r="Q30" s="128"/>
      <c r="R30" s="128"/>
      <c r="S30" s="128"/>
      <c r="T30" s="128"/>
      <c r="U30" s="128"/>
      <c r="V30" s="128"/>
      <c r="W30" s="128"/>
      <c r="X30" s="128"/>
    </row>
    <row r="31" spans="1:24" ht="36">
      <c r="A31" s="118" t="s">
        <v>450</v>
      </c>
      <c r="B31" s="119" t="s">
        <v>512</v>
      </c>
      <c r="C31" s="119" t="s">
        <v>513</v>
      </c>
      <c r="D31" s="118"/>
      <c r="E31" s="129"/>
      <c r="F31" s="121">
        <v>4</v>
      </c>
      <c r="G31" s="122">
        <v>3</v>
      </c>
      <c r="H31" s="123">
        <f t="shared" si="0"/>
        <v>6</v>
      </c>
      <c r="I31" s="124" t="s">
        <v>514</v>
      </c>
      <c r="J31" s="137" t="s">
        <v>441</v>
      </c>
      <c r="K31" s="138" t="s">
        <v>441</v>
      </c>
      <c r="L31" s="139" t="s">
        <v>441</v>
      </c>
      <c r="M31" s="124" t="s">
        <v>515</v>
      </c>
      <c r="N31" s="111">
        <v>6</v>
      </c>
      <c r="O31" s="111" t="s">
        <v>31</v>
      </c>
      <c r="P31" s="136"/>
      <c r="Q31" s="128"/>
      <c r="R31" s="128"/>
      <c r="S31" s="128"/>
      <c r="T31" s="128"/>
      <c r="U31" s="128"/>
      <c r="V31" s="128"/>
      <c r="W31" s="128"/>
      <c r="X31" s="128"/>
    </row>
    <row r="32" spans="1:24" ht="48">
      <c r="A32" s="118" t="s">
        <v>435</v>
      </c>
      <c r="B32" s="119" t="s">
        <v>516</v>
      </c>
      <c r="C32" s="119" t="s">
        <v>517</v>
      </c>
      <c r="D32" s="134"/>
      <c r="E32" s="129"/>
      <c r="F32" s="121">
        <v>4</v>
      </c>
      <c r="G32" s="122">
        <v>3</v>
      </c>
      <c r="H32" s="123">
        <f t="shared" si="0"/>
        <v>6</v>
      </c>
      <c r="I32" s="124" t="s">
        <v>518</v>
      </c>
      <c r="J32" s="137" t="s">
        <v>441</v>
      </c>
      <c r="K32" s="138" t="s">
        <v>441</v>
      </c>
      <c r="L32" s="139" t="s">
        <v>441</v>
      </c>
      <c r="M32" s="124" t="s">
        <v>515</v>
      </c>
      <c r="N32" s="111">
        <v>6</v>
      </c>
      <c r="O32" s="111" t="s">
        <v>31</v>
      </c>
      <c r="P32" s="136"/>
      <c r="Q32" s="128"/>
      <c r="R32" s="128"/>
      <c r="S32" s="128"/>
      <c r="T32" s="128"/>
      <c r="U32" s="128"/>
      <c r="V32" s="128"/>
      <c r="W32" s="128"/>
      <c r="X32" s="128"/>
    </row>
    <row r="33" spans="1:24" ht="60">
      <c r="A33" s="118" t="s">
        <v>435</v>
      </c>
      <c r="B33" s="119" t="s">
        <v>519</v>
      </c>
      <c r="C33" s="119" t="s">
        <v>520</v>
      </c>
      <c r="D33" s="118"/>
      <c r="E33" s="129"/>
      <c r="F33" s="121">
        <v>4</v>
      </c>
      <c r="G33" s="122">
        <v>3</v>
      </c>
      <c r="H33" s="123">
        <f t="shared" si="0"/>
        <v>6</v>
      </c>
      <c r="I33" s="124" t="s">
        <v>521</v>
      </c>
      <c r="J33" s="137" t="s">
        <v>441</v>
      </c>
      <c r="K33" s="138" t="s">
        <v>441</v>
      </c>
      <c r="L33" s="139" t="s">
        <v>441</v>
      </c>
      <c r="M33" s="124" t="s">
        <v>515</v>
      </c>
      <c r="N33" s="111">
        <v>6</v>
      </c>
      <c r="O33" s="111" t="s">
        <v>31</v>
      </c>
      <c r="P33" s="136"/>
      <c r="Q33" s="128"/>
      <c r="R33" s="128"/>
      <c r="S33" s="128"/>
      <c r="T33" s="128"/>
      <c r="U33" s="128"/>
      <c r="V33" s="128"/>
      <c r="W33" s="128"/>
      <c r="X33" s="128"/>
    </row>
    <row r="34" spans="1:24" ht="48">
      <c r="A34" s="118" t="s">
        <v>435</v>
      </c>
      <c r="B34" s="119" t="s">
        <v>522</v>
      </c>
      <c r="C34" s="119" t="s">
        <v>523</v>
      </c>
      <c r="D34" s="118"/>
      <c r="E34" s="129"/>
      <c r="F34" s="121">
        <v>4</v>
      </c>
      <c r="G34" s="122">
        <v>3</v>
      </c>
      <c r="H34" s="123">
        <f t="shared" si="0"/>
        <v>6</v>
      </c>
      <c r="I34" s="124" t="s">
        <v>524</v>
      </c>
      <c r="J34" s="137" t="s">
        <v>441</v>
      </c>
      <c r="K34" s="138" t="s">
        <v>441</v>
      </c>
      <c r="L34" s="139" t="s">
        <v>441</v>
      </c>
      <c r="M34" s="124" t="s">
        <v>515</v>
      </c>
      <c r="N34" s="111">
        <v>6</v>
      </c>
      <c r="O34" s="111" t="s">
        <v>31</v>
      </c>
      <c r="P34" s="136"/>
      <c r="Q34" s="128"/>
      <c r="R34" s="128"/>
      <c r="S34" s="128"/>
      <c r="T34" s="128"/>
      <c r="U34" s="128"/>
      <c r="V34" s="128"/>
      <c r="W34" s="128"/>
      <c r="X34" s="128"/>
    </row>
    <row r="35" spans="1:24" ht="48">
      <c r="A35" s="118" t="s">
        <v>435</v>
      </c>
      <c r="B35" s="119" t="s">
        <v>525</v>
      </c>
      <c r="C35" s="119" t="s">
        <v>526</v>
      </c>
      <c r="D35" s="118"/>
      <c r="E35" s="120" t="s">
        <v>527</v>
      </c>
      <c r="F35" s="121">
        <v>4</v>
      </c>
      <c r="G35" s="122">
        <v>3</v>
      </c>
      <c r="H35" s="123">
        <f t="shared" si="0"/>
        <v>6</v>
      </c>
      <c r="I35" s="124" t="s">
        <v>528</v>
      </c>
      <c r="J35" s="125">
        <v>3</v>
      </c>
      <c r="K35" s="122">
        <v>3</v>
      </c>
      <c r="L35" s="111">
        <f t="shared" ref="L35:L52" si="2">(J35+K35)-1</f>
        <v>5</v>
      </c>
      <c r="M35" s="124" t="s">
        <v>529</v>
      </c>
      <c r="N35" s="111">
        <v>6</v>
      </c>
      <c r="O35" s="111" t="s">
        <v>31</v>
      </c>
      <c r="P35" s="136"/>
      <c r="Q35" s="128"/>
      <c r="R35" s="128"/>
      <c r="S35" s="128"/>
      <c r="T35" s="128"/>
      <c r="U35" s="128"/>
      <c r="V35" s="128"/>
      <c r="W35" s="128"/>
      <c r="X35" s="128"/>
    </row>
    <row r="36" spans="1:24" ht="24">
      <c r="A36" s="118" t="s">
        <v>435</v>
      </c>
      <c r="B36" s="119" t="s">
        <v>530</v>
      </c>
      <c r="C36" s="119" t="s">
        <v>531</v>
      </c>
      <c r="D36" s="134"/>
      <c r="E36" s="120" t="s">
        <v>532</v>
      </c>
      <c r="F36" s="121">
        <v>4</v>
      </c>
      <c r="G36" s="122">
        <v>3</v>
      </c>
      <c r="H36" s="123">
        <f t="shared" si="0"/>
        <v>6</v>
      </c>
      <c r="I36" s="124" t="s">
        <v>533</v>
      </c>
      <c r="J36" s="125">
        <v>3</v>
      </c>
      <c r="K36" s="122">
        <v>3</v>
      </c>
      <c r="L36" s="111">
        <f t="shared" si="2"/>
        <v>5</v>
      </c>
      <c r="M36" s="124" t="s">
        <v>534</v>
      </c>
      <c r="N36" s="111">
        <v>6</v>
      </c>
      <c r="O36" s="111" t="s">
        <v>31</v>
      </c>
      <c r="P36" s="136"/>
      <c r="Q36" s="128"/>
      <c r="R36" s="128"/>
      <c r="S36" s="128"/>
      <c r="T36" s="128"/>
      <c r="U36" s="128"/>
      <c r="V36" s="128"/>
      <c r="W36" s="128"/>
      <c r="X36" s="128"/>
    </row>
    <row r="37" spans="1:24" ht="36">
      <c r="A37" s="118" t="s">
        <v>435</v>
      </c>
      <c r="B37" s="119" t="s">
        <v>535</v>
      </c>
      <c r="C37" s="119" t="s">
        <v>536</v>
      </c>
      <c r="D37" s="118"/>
      <c r="E37" s="120" t="s">
        <v>537</v>
      </c>
      <c r="F37" s="121">
        <v>4</v>
      </c>
      <c r="G37" s="122">
        <v>3</v>
      </c>
      <c r="H37" s="123">
        <f t="shared" si="0"/>
        <v>6</v>
      </c>
      <c r="I37" s="124" t="s">
        <v>538</v>
      </c>
      <c r="J37" s="125">
        <v>4</v>
      </c>
      <c r="K37" s="122">
        <v>2</v>
      </c>
      <c r="L37" s="111">
        <f t="shared" si="2"/>
        <v>5</v>
      </c>
      <c r="M37" s="124" t="s">
        <v>539</v>
      </c>
      <c r="N37" s="111">
        <v>6</v>
      </c>
      <c r="O37" s="111" t="s">
        <v>31</v>
      </c>
      <c r="P37" s="136"/>
      <c r="Q37" s="128"/>
      <c r="R37" s="128"/>
      <c r="S37" s="128"/>
      <c r="T37" s="128"/>
      <c r="U37" s="128"/>
      <c r="V37" s="128"/>
      <c r="W37" s="128"/>
      <c r="X37" s="128"/>
    </row>
    <row r="38" spans="1:24" ht="72">
      <c r="A38" s="118" t="s">
        <v>435</v>
      </c>
      <c r="B38" s="119" t="s">
        <v>540</v>
      </c>
      <c r="C38" s="119" t="s">
        <v>541</v>
      </c>
      <c r="D38" s="118"/>
      <c r="E38" s="120" t="s">
        <v>542</v>
      </c>
      <c r="F38" s="121">
        <v>3</v>
      </c>
      <c r="G38" s="122">
        <v>2</v>
      </c>
      <c r="H38" s="123">
        <f t="shared" si="0"/>
        <v>4</v>
      </c>
      <c r="I38" s="124" t="s">
        <v>543</v>
      </c>
      <c r="J38" s="125">
        <v>4</v>
      </c>
      <c r="K38" s="122">
        <v>3</v>
      </c>
      <c r="L38" s="111">
        <f t="shared" si="2"/>
        <v>6</v>
      </c>
      <c r="M38" s="124" t="s">
        <v>544</v>
      </c>
      <c r="N38" s="111">
        <v>6</v>
      </c>
      <c r="O38" s="111" t="s">
        <v>31</v>
      </c>
      <c r="P38" s="136"/>
      <c r="Q38" s="128"/>
      <c r="R38" s="128"/>
      <c r="S38" s="128"/>
      <c r="T38" s="128"/>
      <c r="U38" s="128"/>
      <c r="V38" s="128"/>
      <c r="W38" s="128"/>
      <c r="X38" s="128"/>
    </row>
    <row r="39" spans="1:24" ht="36">
      <c r="A39" s="118" t="s">
        <v>435</v>
      </c>
      <c r="B39" s="119" t="s">
        <v>545</v>
      </c>
      <c r="C39" s="119" t="s">
        <v>546</v>
      </c>
      <c r="D39" s="134"/>
      <c r="E39" s="129"/>
      <c r="F39" s="121">
        <v>3</v>
      </c>
      <c r="G39" s="122">
        <v>2</v>
      </c>
      <c r="H39" s="123">
        <f t="shared" si="0"/>
        <v>4</v>
      </c>
      <c r="I39" s="124" t="s">
        <v>547</v>
      </c>
      <c r="J39" s="125">
        <v>4</v>
      </c>
      <c r="K39" s="122">
        <v>3</v>
      </c>
      <c r="L39" s="111">
        <f t="shared" si="2"/>
        <v>6</v>
      </c>
      <c r="M39" s="124" t="s">
        <v>548</v>
      </c>
      <c r="N39" s="111">
        <v>6</v>
      </c>
      <c r="O39" s="111" t="s">
        <v>31</v>
      </c>
      <c r="P39" s="136"/>
      <c r="Q39" s="128"/>
      <c r="R39" s="128"/>
      <c r="S39" s="128"/>
      <c r="T39" s="128"/>
      <c r="U39" s="128"/>
      <c r="V39" s="128"/>
      <c r="W39" s="128"/>
      <c r="X39" s="128"/>
    </row>
    <row r="40" spans="1:24" ht="48">
      <c r="A40" s="118" t="s">
        <v>435</v>
      </c>
      <c r="B40" s="119" t="s">
        <v>549</v>
      </c>
      <c r="C40" s="119" t="s">
        <v>550</v>
      </c>
      <c r="D40" s="118"/>
      <c r="E40" s="120" t="s">
        <v>551</v>
      </c>
      <c r="F40" s="121">
        <v>4</v>
      </c>
      <c r="G40" s="122">
        <v>3</v>
      </c>
      <c r="H40" s="123">
        <f t="shared" si="0"/>
        <v>6</v>
      </c>
      <c r="I40" s="124" t="s">
        <v>552</v>
      </c>
      <c r="J40" s="125">
        <v>2</v>
      </c>
      <c r="K40" s="122">
        <v>2</v>
      </c>
      <c r="L40" s="111">
        <f t="shared" si="2"/>
        <v>3</v>
      </c>
      <c r="M40" s="124" t="s">
        <v>553</v>
      </c>
      <c r="N40" s="111">
        <v>6</v>
      </c>
      <c r="O40" s="111" t="s">
        <v>31</v>
      </c>
      <c r="P40" s="136"/>
      <c r="Q40" s="128"/>
      <c r="R40" s="128"/>
      <c r="S40" s="128"/>
      <c r="T40" s="128"/>
      <c r="U40" s="128"/>
      <c r="V40" s="128"/>
      <c r="W40" s="128"/>
      <c r="X40" s="128"/>
    </row>
    <row r="41" spans="1:24" ht="36">
      <c r="A41" s="118" t="s">
        <v>435</v>
      </c>
      <c r="B41" s="119" t="s">
        <v>554</v>
      </c>
      <c r="C41" s="119" t="s">
        <v>555</v>
      </c>
      <c r="D41" s="118"/>
      <c r="E41" s="120" t="s">
        <v>556</v>
      </c>
      <c r="F41" s="121">
        <v>4</v>
      </c>
      <c r="G41" s="122">
        <v>3</v>
      </c>
      <c r="H41" s="123">
        <f t="shared" si="0"/>
        <v>6</v>
      </c>
      <c r="I41" s="124" t="s">
        <v>538</v>
      </c>
      <c r="J41" s="125">
        <v>3</v>
      </c>
      <c r="K41" s="122">
        <v>2</v>
      </c>
      <c r="L41" s="111">
        <f t="shared" si="2"/>
        <v>4</v>
      </c>
      <c r="M41" s="124" t="s">
        <v>557</v>
      </c>
      <c r="N41" s="111">
        <v>6</v>
      </c>
      <c r="O41" s="111" t="s">
        <v>31</v>
      </c>
      <c r="P41" s="136"/>
      <c r="Q41" s="128"/>
      <c r="R41" s="128"/>
      <c r="S41" s="128"/>
      <c r="T41" s="128"/>
      <c r="U41" s="128"/>
      <c r="V41" s="128"/>
      <c r="W41" s="128"/>
      <c r="X41" s="128"/>
    </row>
    <row r="42" spans="1:24" ht="36">
      <c r="A42" s="118" t="s">
        <v>435</v>
      </c>
      <c r="B42" s="119" t="s">
        <v>558</v>
      </c>
      <c r="C42" s="119" t="s">
        <v>559</v>
      </c>
      <c r="D42" s="134"/>
      <c r="E42" s="120" t="s">
        <v>556</v>
      </c>
      <c r="F42" s="121">
        <v>4</v>
      </c>
      <c r="G42" s="122">
        <v>3</v>
      </c>
      <c r="H42" s="123">
        <f t="shared" si="0"/>
        <v>6</v>
      </c>
      <c r="I42" s="124" t="s">
        <v>560</v>
      </c>
      <c r="J42" s="125">
        <v>3</v>
      </c>
      <c r="K42" s="122">
        <v>2</v>
      </c>
      <c r="L42" s="111">
        <f t="shared" si="2"/>
        <v>4</v>
      </c>
      <c r="M42" s="124" t="s">
        <v>561</v>
      </c>
      <c r="N42" s="111">
        <v>6</v>
      </c>
      <c r="O42" s="111" t="s">
        <v>31</v>
      </c>
      <c r="P42" s="136"/>
      <c r="Q42" s="128"/>
      <c r="R42" s="128"/>
      <c r="S42" s="128"/>
      <c r="T42" s="128"/>
      <c r="U42" s="128"/>
      <c r="V42" s="128"/>
      <c r="W42" s="128"/>
      <c r="X42" s="128"/>
    </row>
    <row r="43" spans="1:24" ht="48">
      <c r="A43" s="118" t="s">
        <v>435</v>
      </c>
      <c r="B43" s="119" t="s">
        <v>562</v>
      </c>
      <c r="C43" s="119" t="s">
        <v>563</v>
      </c>
      <c r="D43" s="118"/>
      <c r="E43" s="120" t="s">
        <v>564</v>
      </c>
      <c r="F43" s="121">
        <v>4</v>
      </c>
      <c r="G43" s="122">
        <v>3</v>
      </c>
      <c r="H43" s="123">
        <f t="shared" si="0"/>
        <v>6</v>
      </c>
      <c r="I43" s="124" t="s">
        <v>565</v>
      </c>
      <c r="J43" s="125">
        <v>2</v>
      </c>
      <c r="K43" s="122">
        <v>2</v>
      </c>
      <c r="L43" s="111">
        <f t="shared" si="2"/>
        <v>3</v>
      </c>
      <c r="M43" s="124" t="s">
        <v>566</v>
      </c>
      <c r="N43" s="111">
        <v>6</v>
      </c>
      <c r="O43" s="111" t="s">
        <v>31</v>
      </c>
      <c r="P43" s="136"/>
      <c r="Q43" s="128"/>
      <c r="R43" s="128"/>
      <c r="S43" s="128"/>
      <c r="T43" s="128"/>
      <c r="U43" s="128"/>
      <c r="V43" s="128"/>
      <c r="W43" s="128"/>
      <c r="X43" s="128"/>
    </row>
    <row r="44" spans="1:24" ht="36">
      <c r="A44" s="118" t="s">
        <v>567</v>
      </c>
      <c r="B44" s="119" t="s">
        <v>568</v>
      </c>
      <c r="C44" s="119" t="s">
        <v>569</v>
      </c>
      <c r="D44" s="118"/>
      <c r="E44" s="129"/>
      <c r="F44" s="121">
        <v>3</v>
      </c>
      <c r="G44" s="122">
        <v>3</v>
      </c>
      <c r="H44" s="123">
        <f t="shared" si="0"/>
        <v>5</v>
      </c>
      <c r="I44" s="124" t="s">
        <v>570</v>
      </c>
      <c r="J44" s="125">
        <v>3</v>
      </c>
      <c r="K44" s="122">
        <v>4</v>
      </c>
      <c r="L44" s="111">
        <f t="shared" si="2"/>
        <v>6</v>
      </c>
      <c r="M44" s="124" t="s">
        <v>571</v>
      </c>
      <c r="N44" s="111">
        <v>6</v>
      </c>
      <c r="O44" s="111" t="s">
        <v>31</v>
      </c>
      <c r="P44" s="136"/>
      <c r="Q44" s="128"/>
      <c r="R44" s="128"/>
      <c r="S44" s="128"/>
      <c r="T44" s="128"/>
      <c r="U44" s="128"/>
      <c r="V44" s="128"/>
      <c r="W44" s="128"/>
      <c r="X44" s="128"/>
    </row>
    <row r="45" spans="1:24" ht="36">
      <c r="A45" s="118" t="s">
        <v>567</v>
      </c>
      <c r="B45" s="119" t="s">
        <v>572</v>
      </c>
      <c r="C45" s="119" t="s">
        <v>573</v>
      </c>
      <c r="D45" s="118"/>
      <c r="E45" s="129"/>
      <c r="F45" s="121">
        <v>3</v>
      </c>
      <c r="G45" s="122">
        <v>3</v>
      </c>
      <c r="H45" s="123">
        <f t="shared" si="0"/>
        <v>5</v>
      </c>
      <c r="I45" s="124" t="s">
        <v>574</v>
      </c>
      <c r="J45" s="125">
        <v>3</v>
      </c>
      <c r="K45" s="122">
        <v>4</v>
      </c>
      <c r="L45" s="111">
        <f t="shared" si="2"/>
        <v>6</v>
      </c>
      <c r="M45" s="124" t="s">
        <v>575</v>
      </c>
      <c r="N45" s="111">
        <v>6</v>
      </c>
      <c r="O45" s="111" t="s">
        <v>31</v>
      </c>
      <c r="P45" s="136"/>
      <c r="Q45" s="128"/>
      <c r="R45" s="128"/>
      <c r="S45" s="128"/>
      <c r="T45" s="128"/>
      <c r="U45" s="128"/>
      <c r="V45" s="128"/>
      <c r="W45" s="128"/>
      <c r="X45" s="128"/>
    </row>
    <row r="46" spans="1:24" ht="48">
      <c r="A46" s="118" t="s">
        <v>567</v>
      </c>
      <c r="B46" s="119" t="s">
        <v>576</v>
      </c>
      <c r="C46" s="119" t="s">
        <v>577</v>
      </c>
      <c r="D46" s="118"/>
      <c r="E46" s="129"/>
      <c r="F46" s="121">
        <v>3</v>
      </c>
      <c r="G46" s="122">
        <v>3</v>
      </c>
      <c r="H46" s="123">
        <f t="shared" si="0"/>
        <v>5</v>
      </c>
      <c r="I46" s="124" t="s">
        <v>574</v>
      </c>
      <c r="J46" s="125">
        <v>3</v>
      </c>
      <c r="K46" s="122">
        <v>4</v>
      </c>
      <c r="L46" s="111">
        <f t="shared" si="2"/>
        <v>6</v>
      </c>
      <c r="M46" s="124" t="s">
        <v>575</v>
      </c>
      <c r="N46" s="111">
        <v>6</v>
      </c>
      <c r="O46" s="111" t="s">
        <v>31</v>
      </c>
      <c r="P46" s="136"/>
      <c r="Q46" s="128"/>
      <c r="R46" s="128"/>
      <c r="S46" s="128"/>
      <c r="T46" s="128"/>
      <c r="U46" s="128"/>
      <c r="V46" s="128"/>
      <c r="W46" s="128"/>
      <c r="X46" s="128"/>
    </row>
    <row r="47" spans="1:24" ht="60">
      <c r="A47" s="118" t="s">
        <v>567</v>
      </c>
      <c r="B47" s="119" t="s">
        <v>578</v>
      </c>
      <c r="C47" s="119" t="s">
        <v>579</v>
      </c>
      <c r="D47" s="118"/>
      <c r="E47" s="129"/>
      <c r="F47" s="121">
        <v>3</v>
      </c>
      <c r="G47" s="122">
        <v>3</v>
      </c>
      <c r="H47" s="123">
        <f t="shared" si="0"/>
        <v>5</v>
      </c>
      <c r="I47" s="124" t="s">
        <v>574</v>
      </c>
      <c r="J47" s="125">
        <v>3</v>
      </c>
      <c r="K47" s="122">
        <v>4</v>
      </c>
      <c r="L47" s="111">
        <f t="shared" si="2"/>
        <v>6</v>
      </c>
      <c r="M47" s="124" t="s">
        <v>580</v>
      </c>
      <c r="N47" s="111">
        <v>6</v>
      </c>
      <c r="O47" s="111" t="s">
        <v>31</v>
      </c>
      <c r="P47" s="136"/>
      <c r="Q47" s="128"/>
      <c r="R47" s="128"/>
      <c r="S47" s="128"/>
      <c r="T47" s="128"/>
      <c r="U47" s="128"/>
      <c r="V47" s="128"/>
      <c r="W47" s="128"/>
      <c r="X47" s="128"/>
    </row>
    <row r="48" spans="1:24" ht="48">
      <c r="A48" s="118" t="s">
        <v>567</v>
      </c>
      <c r="B48" s="119" t="s">
        <v>581</v>
      </c>
      <c r="C48" s="119" t="s">
        <v>582</v>
      </c>
      <c r="D48" s="118"/>
      <c r="E48" s="129"/>
      <c r="F48" s="121">
        <v>1</v>
      </c>
      <c r="G48" s="122">
        <v>4</v>
      </c>
      <c r="H48" s="123">
        <f t="shared" si="0"/>
        <v>4</v>
      </c>
      <c r="I48" s="124" t="s">
        <v>583</v>
      </c>
      <c r="J48" s="125">
        <v>3</v>
      </c>
      <c r="K48" s="122">
        <v>4</v>
      </c>
      <c r="L48" s="111">
        <f t="shared" si="2"/>
        <v>6</v>
      </c>
      <c r="M48" s="124" t="s">
        <v>584</v>
      </c>
      <c r="N48" s="111">
        <v>6</v>
      </c>
      <c r="O48" s="111" t="s">
        <v>31</v>
      </c>
      <c r="P48" s="136"/>
      <c r="Q48" s="128"/>
      <c r="R48" s="128"/>
      <c r="S48" s="128"/>
      <c r="T48" s="128"/>
      <c r="U48" s="128"/>
      <c r="V48" s="128"/>
      <c r="W48" s="128"/>
      <c r="X48" s="128"/>
    </row>
    <row r="49" spans="1:24" ht="36">
      <c r="A49" s="118" t="s">
        <v>567</v>
      </c>
      <c r="B49" s="119" t="s">
        <v>585</v>
      </c>
      <c r="C49" s="119" t="s">
        <v>586</v>
      </c>
      <c r="D49" s="118"/>
      <c r="E49" s="129"/>
      <c r="F49" s="121">
        <v>1</v>
      </c>
      <c r="G49" s="122">
        <v>3</v>
      </c>
      <c r="H49" s="123">
        <f t="shared" si="0"/>
        <v>3</v>
      </c>
      <c r="I49" s="124" t="s">
        <v>587</v>
      </c>
      <c r="J49" s="125">
        <v>3</v>
      </c>
      <c r="K49" s="122">
        <v>4</v>
      </c>
      <c r="L49" s="111">
        <f t="shared" si="2"/>
        <v>6</v>
      </c>
      <c r="M49" s="124" t="s">
        <v>588</v>
      </c>
      <c r="N49" s="111">
        <v>6</v>
      </c>
      <c r="O49" s="111" t="s">
        <v>31</v>
      </c>
      <c r="P49" s="136"/>
      <c r="Q49" s="128"/>
      <c r="R49" s="128"/>
      <c r="S49" s="128"/>
      <c r="T49" s="128"/>
      <c r="U49" s="128"/>
      <c r="V49" s="128"/>
      <c r="W49" s="128"/>
      <c r="X49" s="128"/>
    </row>
    <row r="50" spans="1:24" ht="48">
      <c r="A50" s="118" t="s">
        <v>567</v>
      </c>
      <c r="B50" s="119" t="s">
        <v>589</v>
      </c>
      <c r="C50" s="119" t="s">
        <v>590</v>
      </c>
      <c r="D50" s="118"/>
      <c r="E50" s="129"/>
      <c r="F50" s="121">
        <v>1</v>
      </c>
      <c r="G50" s="122">
        <v>4</v>
      </c>
      <c r="H50" s="123">
        <f t="shared" si="0"/>
        <v>4</v>
      </c>
      <c r="I50" s="124" t="s">
        <v>583</v>
      </c>
      <c r="J50" s="125">
        <v>3</v>
      </c>
      <c r="K50" s="122">
        <v>4</v>
      </c>
      <c r="L50" s="111">
        <f t="shared" si="2"/>
        <v>6</v>
      </c>
      <c r="M50" s="124" t="s">
        <v>584</v>
      </c>
      <c r="N50" s="111">
        <v>6</v>
      </c>
      <c r="O50" s="111" t="s">
        <v>31</v>
      </c>
      <c r="P50" s="136"/>
      <c r="Q50" s="128"/>
      <c r="R50" s="128"/>
      <c r="S50" s="128"/>
      <c r="T50" s="128"/>
      <c r="U50" s="128"/>
      <c r="V50" s="128"/>
      <c r="W50" s="128"/>
      <c r="X50" s="128"/>
    </row>
    <row r="51" spans="1:24" ht="72">
      <c r="A51" s="118" t="s">
        <v>591</v>
      </c>
      <c r="B51" s="119" t="s">
        <v>592</v>
      </c>
      <c r="C51" s="119" t="s">
        <v>593</v>
      </c>
      <c r="D51" s="118"/>
      <c r="E51" s="129"/>
      <c r="F51" s="121">
        <v>1</v>
      </c>
      <c r="G51" s="122">
        <v>4</v>
      </c>
      <c r="H51" s="123">
        <f t="shared" si="0"/>
        <v>4</v>
      </c>
      <c r="I51" s="124" t="s">
        <v>594</v>
      </c>
      <c r="J51" s="125">
        <v>3</v>
      </c>
      <c r="K51" s="122">
        <v>4</v>
      </c>
      <c r="L51" s="111">
        <f t="shared" si="2"/>
        <v>6</v>
      </c>
      <c r="M51" s="124" t="s">
        <v>595</v>
      </c>
      <c r="N51" s="111">
        <v>6</v>
      </c>
      <c r="O51" s="111" t="s">
        <v>31</v>
      </c>
      <c r="P51" s="136"/>
      <c r="Q51" s="128"/>
      <c r="R51" s="128"/>
      <c r="S51" s="128"/>
      <c r="T51" s="128"/>
      <c r="U51" s="128"/>
      <c r="V51" s="128"/>
      <c r="W51" s="128"/>
      <c r="X51" s="128"/>
    </row>
    <row r="52" spans="1:24" ht="48">
      <c r="A52" s="118" t="s">
        <v>591</v>
      </c>
      <c r="B52" s="119" t="s">
        <v>596</v>
      </c>
      <c r="C52" s="119" t="s">
        <v>597</v>
      </c>
      <c r="D52" s="118"/>
      <c r="E52" s="129"/>
      <c r="F52" s="121">
        <v>1</v>
      </c>
      <c r="G52" s="122">
        <v>4</v>
      </c>
      <c r="H52" s="123">
        <f t="shared" si="0"/>
        <v>4</v>
      </c>
      <c r="I52" s="124" t="s">
        <v>598</v>
      </c>
      <c r="J52" s="125">
        <v>3</v>
      </c>
      <c r="K52" s="122">
        <v>4</v>
      </c>
      <c r="L52" s="111">
        <f t="shared" si="2"/>
        <v>6</v>
      </c>
      <c r="M52" s="124" t="s">
        <v>599</v>
      </c>
      <c r="N52" s="111">
        <v>6</v>
      </c>
      <c r="O52" s="111" t="s">
        <v>31</v>
      </c>
      <c r="P52" s="136"/>
      <c r="Q52" s="128"/>
      <c r="R52" s="128"/>
      <c r="S52" s="128"/>
      <c r="T52" s="128"/>
      <c r="U52" s="128"/>
      <c r="V52" s="128"/>
      <c r="W52" s="128"/>
      <c r="X52" s="128"/>
    </row>
    <row r="53" spans="1:24" ht="24">
      <c r="A53" s="118" t="s">
        <v>450</v>
      </c>
      <c r="B53" s="119" t="s">
        <v>600</v>
      </c>
      <c r="C53" s="119" t="s">
        <v>513</v>
      </c>
      <c r="D53" s="118"/>
      <c r="E53" s="129"/>
      <c r="F53" s="121">
        <v>3</v>
      </c>
      <c r="G53" s="122">
        <v>4</v>
      </c>
      <c r="H53" s="123">
        <f t="shared" si="0"/>
        <v>6</v>
      </c>
      <c r="I53" s="124" t="s">
        <v>601</v>
      </c>
      <c r="J53" s="137" t="s">
        <v>441</v>
      </c>
      <c r="K53" s="138" t="s">
        <v>441</v>
      </c>
      <c r="L53" s="139" t="s">
        <v>441</v>
      </c>
      <c r="M53" s="124" t="s">
        <v>515</v>
      </c>
      <c r="N53" s="111">
        <v>6</v>
      </c>
      <c r="O53" s="111" t="s">
        <v>31</v>
      </c>
      <c r="P53" s="136"/>
      <c r="Q53" s="128"/>
      <c r="R53" s="128"/>
      <c r="S53" s="128"/>
      <c r="T53" s="128"/>
      <c r="U53" s="128"/>
      <c r="V53" s="128"/>
      <c r="W53" s="128"/>
      <c r="X53" s="128"/>
    </row>
    <row r="54" spans="1:24" ht="36">
      <c r="A54" s="118" t="s">
        <v>567</v>
      </c>
      <c r="B54" s="119" t="s">
        <v>602</v>
      </c>
      <c r="C54" s="119" t="s">
        <v>603</v>
      </c>
      <c r="D54" s="134"/>
      <c r="E54" s="129"/>
      <c r="F54" s="121">
        <v>3</v>
      </c>
      <c r="G54" s="122">
        <v>4</v>
      </c>
      <c r="H54" s="123">
        <f t="shared" si="0"/>
        <v>6</v>
      </c>
      <c r="I54" s="124" t="s">
        <v>604</v>
      </c>
      <c r="J54" s="125">
        <v>2</v>
      </c>
      <c r="K54" s="122">
        <v>2</v>
      </c>
      <c r="L54" s="111">
        <f>(J54+K54)-1</f>
        <v>3</v>
      </c>
      <c r="M54" s="124" t="s">
        <v>605</v>
      </c>
      <c r="N54" s="111">
        <v>6</v>
      </c>
      <c r="O54" s="111" t="s">
        <v>31</v>
      </c>
      <c r="P54" s="136"/>
      <c r="Q54" s="128"/>
      <c r="R54" s="128"/>
      <c r="S54" s="128"/>
      <c r="T54" s="128"/>
      <c r="U54" s="128"/>
      <c r="V54" s="128"/>
      <c r="W54" s="128"/>
      <c r="X54" s="128"/>
    </row>
    <row r="55" spans="1:24" ht="48">
      <c r="A55" s="118" t="s">
        <v>428</v>
      </c>
      <c r="B55" s="131" t="s">
        <v>455</v>
      </c>
      <c r="C55" s="131" t="s">
        <v>456</v>
      </c>
      <c r="D55" s="134"/>
      <c r="E55" s="129"/>
      <c r="F55" s="121">
        <v>2</v>
      </c>
      <c r="G55" s="122">
        <v>4</v>
      </c>
      <c r="H55" s="123">
        <f t="shared" si="0"/>
        <v>5</v>
      </c>
      <c r="I55" s="135" t="s">
        <v>462</v>
      </c>
      <c r="J55" s="137">
        <v>3</v>
      </c>
      <c r="K55" s="138">
        <v>4</v>
      </c>
      <c r="L55" s="111">
        <f>(J55+K55)-1</f>
        <v>6</v>
      </c>
      <c r="M55" s="124" t="s">
        <v>433</v>
      </c>
      <c r="N55" s="111">
        <v>6</v>
      </c>
      <c r="O55" s="111" t="s">
        <v>31</v>
      </c>
      <c r="P55" s="136"/>
      <c r="Q55" s="128"/>
      <c r="R55" s="128"/>
      <c r="S55" s="128"/>
      <c r="T55" s="128"/>
      <c r="U55" s="128"/>
      <c r="V55" s="128"/>
      <c r="W55" s="128"/>
      <c r="X55" s="128"/>
    </row>
    <row r="56" spans="1:24" ht="60">
      <c r="A56" s="118" t="s">
        <v>428</v>
      </c>
      <c r="B56" s="131" t="s">
        <v>457</v>
      </c>
      <c r="C56" s="131" t="s">
        <v>458</v>
      </c>
      <c r="D56" s="134"/>
      <c r="E56" s="129"/>
      <c r="F56" s="121">
        <v>2</v>
      </c>
      <c r="G56" s="122">
        <v>4</v>
      </c>
      <c r="H56" s="123">
        <f t="shared" si="0"/>
        <v>5</v>
      </c>
      <c r="I56" s="135" t="s">
        <v>462</v>
      </c>
      <c r="J56" s="137">
        <v>3</v>
      </c>
      <c r="K56" s="138">
        <v>4</v>
      </c>
      <c r="L56" s="111">
        <f>(J56+K56)-1</f>
        <v>6</v>
      </c>
      <c r="M56" s="124" t="s">
        <v>433</v>
      </c>
      <c r="N56" s="111">
        <v>6</v>
      </c>
      <c r="O56" s="111" t="s">
        <v>31</v>
      </c>
      <c r="P56" s="136"/>
      <c r="Q56" s="128"/>
      <c r="R56" s="128"/>
      <c r="S56" s="128"/>
      <c r="T56" s="128"/>
      <c r="U56" s="128"/>
      <c r="V56" s="128"/>
      <c r="W56" s="128"/>
      <c r="X56" s="128"/>
    </row>
    <row r="57" spans="1:24" ht="60">
      <c r="A57" s="118" t="s">
        <v>435</v>
      </c>
      <c r="B57" s="119" t="s">
        <v>559</v>
      </c>
      <c r="C57" s="119" t="s">
        <v>606</v>
      </c>
      <c r="D57" s="118"/>
      <c r="E57" s="129"/>
      <c r="F57" s="121">
        <v>4</v>
      </c>
      <c r="G57" s="122">
        <v>2</v>
      </c>
      <c r="H57" s="123">
        <f t="shared" si="0"/>
        <v>5</v>
      </c>
      <c r="I57" s="124" t="s">
        <v>538</v>
      </c>
      <c r="J57" s="125">
        <v>4</v>
      </c>
      <c r="K57" s="122">
        <v>2</v>
      </c>
      <c r="L57" s="111">
        <f>(J57+K57)-1</f>
        <v>5</v>
      </c>
      <c r="M57" s="124" t="s">
        <v>607</v>
      </c>
      <c r="N57" s="111">
        <v>5</v>
      </c>
      <c r="O57" s="111" t="s">
        <v>608</v>
      </c>
      <c r="P57" s="136"/>
      <c r="Q57" s="128"/>
      <c r="R57" s="128"/>
      <c r="S57" s="128"/>
      <c r="T57" s="128"/>
      <c r="U57" s="128"/>
      <c r="V57" s="128"/>
      <c r="W57" s="128"/>
      <c r="X57" s="128"/>
    </row>
    <row r="58" spans="1:24" ht="60">
      <c r="A58" s="118" t="s">
        <v>435</v>
      </c>
      <c r="B58" s="119" t="s">
        <v>609</v>
      </c>
      <c r="C58" s="119" t="s">
        <v>610</v>
      </c>
      <c r="D58" s="134"/>
      <c r="E58" s="120" t="s">
        <v>611</v>
      </c>
      <c r="F58" s="121">
        <v>4</v>
      </c>
      <c r="G58" s="122">
        <v>2</v>
      </c>
      <c r="H58" s="123">
        <f t="shared" si="0"/>
        <v>5</v>
      </c>
      <c r="I58" s="124" t="s">
        <v>612</v>
      </c>
      <c r="J58" s="137" t="s">
        <v>441</v>
      </c>
      <c r="K58" s="138" t="s">
        <v>441</v>
      </c>
      <c r="L58" s="139" t="s">
        <v>441</v>
      </c>
      <c r="M58" s="124" t="s">
        <v>515</v>
      </c>
      <c r="N58" s="111">
        <v>5</v>
      </c>
      <c r="O58" s="111" t="s">
        <v>608</v>
      </c>
      <c r="P58" s="136"/>
      <c r="Q58" s="128"/>
      <c r="R58" s="128"/>
      <c r="S58" s="128"/>
      <c r="T58" s="128"/>
      <c r="U58" s="128"/>
      <c r="V58" s="128"/>
      <c r="W58" s="128"/>
      <c r="X58" s="128"/>
    </row>
    <row r="59" spans="1:24" ht="36">
      <c r="A59" s="118" t="s">
        <v>450</v>
      </c>
      <c r="B59" s="119" t="s">
        <v>613</v>
      </c>
      <c r="C59" s="119" t="s">
        <v>614</v>
      </c>
      <c r="D59" s="118"/>
      <c r="E59" s="129"/>
      <c r="F59" s="121">
        <v>4</v>
      </c>
      <c r="G59" s="122">
        <v>2</v>
      </c>
      <c r="H59" s="123">
        <f t="shared" si="0"/>
        <v>5</v>
      </c>
      <c r="I59" s="124" t="s">
        <v>615</v>
      </c>
      <c r="J59" s="125">
        <v>4</v>
      </c>
      <c r="K59" s="122">
        <v>2</v>
      </c>
      <c r="L59" s="111">
        <f t="shared" ref="L59:L113" si="3">(J59+K59)-1</f>
        <v>5</v>
      </c>
      <c r="M59" s="124" t="s">
        <v>616</v>
      </c>
      <c r="N59" s="111">
        <v>5</v>
      </c>
      <c r="O59" s="111" t="s">
        <v>608</v>
      </c>
      <c r="P59" s="136"/>
      <c r="Q59" s="128"/>
      <c r="R59" s="128"/>
      <c r="S59" s="128"/>
      <c r="T59" s="128"/>
      <c r="U59" s="128"/>
      <c r="V59" s="128"/>
      <c r="W59" s="128"/>
      <c r="X59" s="128"/>
    </row>
    <row r="60" spans="1:24" ht="60">
      <c r="A60" s="118" t="s">
        <v>450</v>
      </c>
      <c r="B60" s="119" t="s">
        <v>617</v>
      </c>
      <c r="C60" s="119" t="s">
        <v>618</v>
      </c>
      <c r="D60" s="118"/>
      <c r="E60" s="129"/>
      <c r="F60" s="121">
        <v>4</v>
      </c>
      <c r="G60" s="122">
        <v>2</v>
      </c>
      <c r="H60" s="123">
        <f t="shared" si="0"/>
        <v>5</v>
      </c>
      <c r="I60" s="124" t="s">
        <v>619</v>
      </c>
      <c r="J60" s="125">
        <v>4</v>
      </c>
      <c r="K60" s="122">
        <v>2</v>
      </c>
      <c r="L60" s="111">
        <f t="shared" si="3"/>
        <v>5</v>
      </c>
      <c r="M60" s="124" t="s">
        <v>620</v>
      </c>
      <c r="N60" s="111">
        <v>5</v>
      </c>
      <c r="O60" s="111" t="s">
        <v>608</v>
      </c>
      <c r="P60" s="136"/>
      <c r="Q60" s="128"/>
      <c r="R60" s="128"/>
      <c r="S60" s="128"/>
      <c r="T60" s="128"/>
      <c r="U60" s="128"/>
      <c r="V60" s="128"/>
      <c r="W60" s="128"/>
      <c r="X60" s="128"/>
    </row>
    <row r="61" spans="1:24" ht="48">
      <c r="A61" s="118" t="s">
        <v>435</v>
      </c>
      <c r="B61" s="119" t="s">
        <v>621</v>
      </c>
      <c r="C61" s="140" t="s">
        <v>622</v>
      </c>
      <c r="D61" s="134"/>
      <c r="E61" s="120" t="s">
        <v>623</v>
      </c>
      <c r="F61" s="121">
        <v>4</v>
      </c>
      <c r="G61" s="122">
        <v>2</v>
      </c>
      <c r="H61" s="123">
        <f t="shared" si="0"/>
        <v>5</v>
      </c>
      <c r="I61" s="124" t="s">
        <v>624</v>
      </c>
      <c r="J61" s="125">
        <v>4</v>
      </c>
      <c r="K61" s="122">
        <v>2</v>
      </c>
      <c r="L61" s="111">
        <f t="shared" si="3"/>
        <v>5</v>
      </c>
      <c r="M61" s="124" t="s">
        <v>625</v>
      </c>
      <c r="N61" s="111">
        <v>5</v>
      </c>
      <c r="O61" s="111" t="s">
        <v>608</v>
      </c>
      <c r="P61" s="136"/>
      <c r="Q61" s="128"/>
      <c r="R61" s="128"/>
      <c r="S61" s="128"/>
      <c r="T61" s="128"/>
      <c r="U61" s="128"/>
      <c r="V61" s="128"/>
      <c r="W61" s="128"/>
      <c r="X61" s="128"/>
    </row>
    <row r="62" spans="1:24" ht="48">
      <c r="A62" s="118" t="s">
        <v>435</v>
      </c>
      <c r="B62" s="119" t="s">
        <v>626</v>
      </c>
      <c r="C62" s="119" t="s">
        <v>627</v>
      </c>
      <c r="D62" s="118"/>
      <c r="E62" s="120" t="s">
        <v>628</v>
      </c>
      <c r="F62" s="121">
        <v>4</v>
      </c>
      <c r="G62" s="122">
        <v>2</v>
      </c>
      <c r="H62" s="123">
        <f t="shared" si="0"/>
        <v>5</v>
      </c>
      <c r="I62" s="124" t="s">
        <v>629</v>
      </c>
      <c r="J62" s="125">
        <v>4</v>
      </c>
      <c r="K62" s="122">
        <v>2</v>
      </c>
      <c r="L62" s="111">
        <f t="shared" si="3"/>
        <v>5</v>
      </c>
      <c r="M62" s="124" t="s">
        <v>630</v>
      </c>
      <c r="N62" s="111">
        <v>5</v>
      </c>
      <c r="O62" s="111" t="s">
        <v>608</v>
      </c>
      <c r="P62" s="136"/>
      <c r="Q62" s="128"/>
      <c r="R62" s="128"/>
      <c r="S62" s="128"/>
      <c r="T62" s="128"/>
      <c r="U62" s="128"/>
      <c r="V62" s="128"/>
      <c r="W62" s="128"/>
      <c r="X62" s="128"/>
    </row>
    <row r="63" spans="1:24" ht="60">
      <c r="A63" s="118" t="s">
        <v>435</v>
      </c>
      <c r="B63" s="119" t="s">
        <v>631</v>
      </c>
      <c r="C63" s="119" t="s">
        <v>632</v>
      </c>
      <c r="D63" s="134"/>
      <c r="E63" s="120" t="s">
        <v>633</v>
      </c>
      <c r="F63" s="121">
        <v>4</v>
      </c>
      <c r="G63" s="122">
        <v>2</v>
      </c>
      <c r="H63" s="123">
        <f t="shared" si="0"/>
        <v>5</v>
      </c>
      <c r="I63" s="124" t="s">
        <v>634</v>
      </c>
      <c r="J63" s="125">
        <v>4</v>
      </c>
      <c r="K63" s="122">
        <v>2</v>
      </c>
      <c r="L63" s="111">
        <f t="shared" si="3"/>
        <v>5</v>
      </c>
      <c r="M63" s="124" t="s">
        <v>635</v>
      </c>
      <c r="N63" s="111">
        <v>5</v>
      </c>
      <c r="O63" s="111" t="s">
        <v>608</v>
      </c>
      <c r="P63" s="136"/>
      <c r="Q63" s="128"/>
      <c r="R63" s="128"/>
      <c r="S63" s="128"/>
      <c r="T63" s="128"/>
      <c r="U63" s="128"/>
      <c r="V63" s="128"/>
      <c r="W63" s="128"/>
      <c r="X63" s="128"/>
    </row>
    <row r="64" spans="1:24" ht="48">
      <c r="A64" s="118" t="s">
        <v>435</v>
      </c>
      <c r="B64" s="119" t="s">
        <v>636</v>
      </c>
      <c r="C64" s="119" t="s">
        <v>637</v>
      </c>
      <c r="D64" s="118"/>
      <c r="E64" s="129"/>
      <c r="F64" s="121">
        <v>4</v>
      </c>
      <c r="G64" s="122">
        <v>2</v>
      </c>
      <c r="H64" s="123">
        <f t="shared" si="0"/>
        <v>5</v>
      </c>
      <c r="I64" s="124" t="s">
        <v>638</v>
      </c>
      <c r="J64" s="125">
        <v>3</v>
      </c>
      <c r="K64" s="122">
        <v>3</v>
      </c>
      <c r="L64" s="111">
        <f t="shared" si="3"/>
        <v>5</v>
      </c>
      <c r="M64" s="124" t="s">
        <v>639</v>
      </c>
      <c r="N64" s="111">
        <v>5</v>
      </c>
      <c r="O64" s="111" t="s">
        <v>608</v>
      </c>
      <c r="P64" s="136"/>
      <c r="Q64" s="128"/>
      <c r="R64" s="128"/>
      <c r="S64" s="128"/>
      <c r="T64" s="128"/>
      <c r="U64" s="128"/>
      <c r="V64" s="128"/>
      <c r="W64" s="128"/>
      <c r="X64" s="128"/>
    </row>
    <row r="65" spans="1:24" ht="48">
      <c r="A65" s="118" t="s">
        <v>435</v>
      </c>
      <c r="B65" s="119" t="s">
        <v>640</v>
      </c>
      <c r="C65" s="119" t="s">
        <v>641</v>
      </c>
      <c r="D65" s="118"/>
      <c r="E65" s="120" t="s">
        <v>642</v>
      </c>
      <c r="F65" s="121">
        <v>4</v>
      </c>
      <c r="G65" s="122">
        <v>2</v>
      </c>
      <c r="H65" s="123">
        <f t="shared" si="0"/>
        <v>5</v>
      </c>
      <c r="I65" s="124" t="s">
        <v>643</v>
      </c>
      <c r="J65" s="125">
        <v>4</v>
      </c>
      <c r="K65" s="122">
        <v>2</v>
      </c>
      <c r="L65" s="111">
        <f t="shared" si="3"/>
        <v>5</v>
      </c>
      <c r="M65" s="124" t="s">
        <v>644</v>
      </c>
      <c r="N65" s="111">
        <v>5</v>
      </c>
      <c r="O65" s="111" t="s">
        <v>608</v>
      </c>
      <c r="P65" s="136"/>
      <c r="Q65" s="128"/>
      <c r="R65" s="128"/>
      <c r="S65" s="128"/>
      <c r="T65" s="128"/>
      <c r="U65" s="128"/>
      <c r="V65" s="128"/>
      <c r="W65" s="128"/>
      <c r="X65" s="128"/>
    </row>
    <row r="66" spans="1:24" ht="48">
      <c r="A66" s="118" t="s">
        <v>435</v>
      </c>
      <c r="B66" s="119" t="s">
        <v>645</v>
      </c>
      <c r="C66" s="119" t="s">
        <v>646</v>
      </c>
      <c r="D66" s="134"/>
      <c r="E66" s="120" t="s">
        <v>647</v>
      </c>
      <c r="F66" s="121">
        <v>4</v>
      </c>
      <c r="G66" s="122">
        <v>2</v>
      </c>
      <c r="H66" s="123">
        <f t="shared" si="0"/>
        <v>5</v>
      </c>
      <c r="I66" s="124" t="s">
        <v>488</v>
      </c>
      <c r="J66" s="125">
        <v>4</v>
      </c>
      <c r="K66" s="122">
        <v>2</v>
      </c>
      <c r="L66" s="111">
        <f t="shared" si="3"/>
        <v>5</v>
      </c>
      <c r="M66" s="124" t="s">
        <v>648</v>
      </c>
      <c r="N66" s="111">
        <v>5</v>
      </c>
      <c r="O66" s="111" t="s">
        <v>608</v>
      </c>
      <c r="P66" s="136"/>
      <c r="Q66" s="128"/>
      <c r="R66" s="128"/>
      <c r="S66" s="128"/>
      <c r="T66" s="128"/>
      <c r="U66" s="128"/>
      <c r="V66" s="128"/>
      <c r="W66" s="128"/>
      <c r="X66" s="128"/>
    </row>
    <row r="67" spans="1:24" ht="36">
      <c r="A67" s="118" t="s">
        <v>435</v>
      </c>
      <c r="B67" s="119" t="s">
        <v>649</v>
      </c>
      <c r="C67" s="119" t="s">
        <v>650</v>
      </c>
      <c r="D67" s="134"/>
      <c r="E67" s="120" t="s">
        <v>651</v>
      </c>
      <c r="F67" s="121">
        <v>4</v>
      </c>
      <c r="G67" s="122">
        <v>2</v>
      </c>
      <c r="H67" s="123">
        <f t="shared" si="0"/>
        <v>5</v>
      </c>
      <c r="I67" s="124" t="s">
        <v>538</v>
      </c>
      <c r="J67" s="125">
        <v>4</v>
      </c>
      <c r="K67" s="122">
        <v>2</v>
      </c>
      <c r="L67" s="111">
        <f t="shared" si="3"/>
        <v>5</v>
      </c>
      <c r="M67" s="124" t="s">
        <v>539</v>
      </c>
      <c r="N67" s="111">
        <v>5</v>
      </c>
      <c r="O67" s="111" t="s">
        <v>608</v>
      </c>
      <c r="P67" s="136"/>
      <c r="Q67" s="128"/>
      <c r="R67" s="128"/>
      <c r="S67" s="128"/>
      <c r="T67" s="128"/>
      <c r="U67" s="128"/>
      <c r="V67" s="128"/>
      <c r="W67" s="128"/>
      <c r="X67" s="128"/>
    </row>
    <row r="68" spans="1:24" ht="48">
      <c r="A68" s="118" t="s">
        <v>435</v>
      </c>
      <c r="B68" s="119" t="s">
        <v>652</v>
      </c>
      <c r="C68" s="119" t="s">
        <v>653</v>
      </c>
      <c r="D68" s="118"/>
      <c r="E68" s="120" t="s">
        <v>654</v>
      </c>
      <c r="F68" s="121">
        <v>4</v>
      </c>
      <c r="G68" s="122">
        <v>2</v>
      </c>
      <c r="H68" s="123">
        <f t="shared" si="0"/>
        <v>5</v>
      </c>
      <c r="I68" s="124" t="s">
        <v>638</v>
      </c>
      <c r="J68" s="125">
        <v>3</v>
      </c>
      <c r="K68" s="122">
        <v>3</v>
      </c>
      <c r="L68" s="111">
        <f t="shared" si="3"/>
        <v>5</v>
      </c>
      <c r="M68" s="124" t="s">
        <v>639</v>
      </c>
      <c r="N68" s="111">
        <v>5</v>
      </c>
      <c r="O68" s="111" t="s">
        <v>608</v>
      </c>
      <c r="P68" s="136"/>
      <c r="Q68" s="128"/>
      <c r="R68" s="128"/>
      <c r="S68" s="128"/>
      <c r="T68" s="128"/>
      <c r="U68" s="128"/>
      <c r="V68" s="128"/>
      <c r="W68" s="128"/>
      <c r="X68" s="128"/>
    </row>
    <row r="69" spans="1:24" ht="48">
      <c r="A69" s="118" t="s">
        <v>435</v>
      </c>
      <c r="B69" s="119" t="s">
        <v>655</v>
      </c>
      <c r="C69" s="119" t="s">
        <v>656</v>
      </c>
      <c r="D69" s="118"/>
      <c r="E69" s="120" t="s">
        <v>657</v>
      </c>
      <c r="F69" s="121">
        <v>4</v>
      </c>
      <c r="G69" s="122">
        <v>2</v>
      </c>
      <c r="H69" s="123">
        <f t="shared" si="0"/>
        <v>5</v>
      </c>
      <c r="I69" s="124" t="s">
        <v>658</v>
      </c>
      <c r="J69" s="125">
        <v>4</v>
      </c>
      <c r="K69" s="122">
        <v>2</v>
      </c>
      <c r="L69" s="111">
        <f t="shared" si="3"/>
        <v>5</v>
      </c>
      <c r="M69" s="124" t="s">
        <v>659</v>
      </c>
      <c r="N69" s="111">
        <v>5</v>
      </c>
      <c r="O69" s="111" t="s">
        <v>608</v>
      </c>
      <c r="P69" s="136"/>
      <c r="Q69" s="128"/>
      <c r="R69" s="128"/>
      <c r="S69" s="128"/>
      <c r="T69" s="128"/>
      <c r="U69" s="128"/>
      <c r="V69" s="128"/>
      <c r="W69" s="128"/>
      <c r="X69" s="128"/>
    </row>
    <row r="70" spans="1:24" ht="48">
      <c r="A70" s="118" t="s">
        <v>435</v>
      </c>
      <c r="B70" s="119" t="s">
        <v>660</v>
      </c>
      <c r="C70" s="119" t="s">
        <v>661</v>
      </c>
      <c r="D70" s="118"/>
      <c r="E70" s="129"/>
      <c r="F70" s="121">
        <v>2</v>
      </c>
      <c r="G70" s="122">
        <v>3</v>
      </c>
      <c r="H70" s="123">
        <f t="shared" ref="H70:H100" si="4">(F70+G70)-1</f>
        <v>4</v>
      </c>
      <c r="I70" s="124" t="s">
        <v>482</v>
      </c>
      <c r="J70" s="125">
        <v>4</v>
      </c>
      <c r="K70" s="122">
        <v>2</v>
      </c>
      <c r="L70" s="111">
        <f t="shared" si="3"/>
        <v>5</v>
      </c>
      <c r="M70" s="124" t="s">
        <v>662</v>
      </c>
      <c r="N70" s="111">
        <v>5</v>
      </c>
      <c r="O70" s="111" t="s">
        <v>608</v>
      </c>
      <c r="P70" s="136"/>
      <c r="Q70" s="128"/>
      <c r="R70" s="128"/>
      <c r="S70" s="128"/>
      <c r="T70" s="128"/>
      <c r="U70" s="128"/>
      <c r="V70" s="128"/>
      <c r="W70" s="128"/>
      <c r="X70" s="128"/>
    </row>
    <row r="71" spans="1:24" ht="60">
      <c r="A71" s="118" t="s">
        <v>435</v>
      </c>
      <c r="B71" s="119" t="s">
        <v>663</v>
      </c>
      <c r="C71" s="119" t="s">
        <v>664</v>
      </c>
      <c r="D71" s="134"/>
      <c r="E71" s="120" t="s">
        <v>665</v>
      </c>
      <c r="F71" s="121">
        <v>3</v>
      </c>
      <c r="G71" s="122">
        <v>2</v>
      </c>
      <c r="H71" s="123">
        <f t="shared" si="4"/>
        <v>4</v>
      </c>
      <c r="I71" s="124" t="s">
        <v>666</v>
      </c>
      <c r="J71" s="125">
        <v>4</v>
      </c>
      <c r="K71" s="122">
        <v>2</v>
      </c>
      <c r="L71" s="111">
        <f t="shared" si="3"/>
        <v>5</v>
      </c>
      <c r="M71" s="124" t="s">
        <v>667</v>
      </c>
      <c r="N71" s="111">
        <v>5</v>
      </c>
      <c r="O71" s="111" t="s">
        <v>608</v>
      </c>
      <c r="P71" s="136"/>
      <c r="Q71" s="128"/>
      <c r="R71" s="128"/>
      <c r="S71" s="128"/>
      <c r="T71" s="128"/>
      <c r="U71" s="128"/>
      <c r="V71" s="128"/>
      <c r="W71" s="128"/>
      <c r="X71" s="128"/>
    </row>
    <row r="72" spans="1:24" ht="36">
      <c r="A72" s="118" t="s">
        <v>435</v>
      </c>
      <c r="B72" s="119" t="s">
        <v>668</v>
      </c>
      <c r="C72" s="119" t="s">
        <v>669</v>
      </c>
      <c r="D72" s="118"/>
      <c r="E72" s="120" t="s">
        <v>670</v>
      </c>
      <c r="F72" s="121">
        <v>2</v>
      </c>
      <c r="G72" s="122">
        <v>2</v>
      </c>
      <c r="H72" s="123">
        <f t="shared" si="4"/>
        <v>3</v>
      </c>
      <c r="I72" s="124" t="s">
        <v>671</v>
      </c>
      <c r="J72" s="125">
        <v>4</v>
      </c>
      <c r="K72" s="122">
        <v>2</v>
      </c>
      <c r="L72" s="111">
        <f t="shared" si="3"/>
        <v>5</v>
      </c>
      <c r="M72" s="124" t="s">
        <v>672</v>
      </c>
      <c r="N72" s="111">
        <v>5</v>
      </c>
      <c r="O72" s="111" t="s">
        <v>608</v>
      </c>
      <c r="P72" s="136"/>
      <c r="Q72" s="128"/>
      <c r="R72" s="128"/>
      <c r="S72" s="128"/>
      <c r="T72" s="128"/>
      <c r="U72" s="128"/>
      <c r="V72" s="128"/>
      <c r="W72" s="128"/>
      <c r="X72" s="128"/>
    </row>
    <row r="73" spans="1:24" ht="36">
      <c r="A73" s="118" t="s">
        <v>435</v>
      </c>
      <c r="B73" s="119" t="s">
        <v>673</v>
      </c>
      <c r="C73" s="119" t="s">
        <v>669</v>
      </c>
      <c r="D73" s="118"/>
      <c r="E73" s="120" t="s">
        <v>674</v>
      </c>
      <c r="F73" s="121">
        <v>2</v>
      </c>
      <c r="G73" s="122">
        <v>2</v>
      </c>
      <c r="H73" s="123">
        <f t="shared" si="4"/>
        <v>3</v>
      </c>
      <c r="I73" s="124" t="s">
        <v>671</v>
      </c>
      <c r="J73" s="125">
        <v>4</v>
      </c>
      <c r="K73" s="122">
        <v>2</v>
      </c>
      <c r="L73" s="111">
        <f t="shared" si="3"/>
        <v>5</v>
      </c>
      <c r="M73" s="124" t="s">
        <v>675</v>
      </c>
      <c r="N73" s="111">
        <v>5</v>
      </c>
      <c r="O73" s="111" t="s">
        <v>608</v>
      </c>
      <c r="P73" s="136"/>
      <c r="Q73" s="128"/>
      <c r="R73" s="128"/>
      <c r="S73" s="128"/>
      <c r="T73" s="128"/>
      <c r="U73" s="128"/>
      <c r="V73" s="128"/>
      <c r="W73" s="128"/>
      <c r="X73" s="128"/>
    </row>
    <row r="74" spans="1:24" ht="60">
      <c r="A74" s="118" t="s">
        <v>435</v>
      </c>
      <c r="B74" s="119" t="s">
        <v>676</v>
      </c>
      <c r="C74" s="119" t="s">
        <v>677</v>
      </c>
      <c r="D74" s="134"/>
      <c r="E74" s="129"/>
      <c r="F74" s="121">
        <v>2</v>
      </c>
      <c r="G74" s="122">
        <v>3</v>
      </c>
      <c r="H74" s="123">
        <f t="shared" si="4"/>
        <v>4</v>
      </c>
      <c r="I74" s="124" t="s">
        <v>678</v>
      </c>
      <c r="J74" s="125">
        <v>4</v>
      </c>
      <c r="K74" s="122">
        <v>2</v>
      </c>
      <c r="L74" s="111">
        <f t="shared" si="3"/>
        <v>5</v>
      </c>
      <c r="M74" s="124" t="s">
        <v>679</v>
      </c>
      <c r="N74" s="111">
        <v>5</v>
      </c>
      <c r="O74" s="111" t="s">
        <v>608</v>
      </c>
      <c r="P74" s="136"/>
      <c r="Q74" s="128"/>
      <c r="R74" s="128"/>
      <c r="S74" s="128"/>
      <c r="T74" s="128"/>
      <c r="U74" s="128"/>
      <c r="V74" s="128"/>
      <c r="W74" s="128"/>
      <c r="X74" s="128"/>
    </row>
    <row r="75" spans="1:24" ht="48">
      <c r="A75" s="118" t="s">
        <v>435</v>
      </c>
      <c r="B75" s="119" t="s">
        <v>680</v>
      </c>
      <c r="C75" s="119" t="s">
        <v>681</v>
      </c>
      <c r="D75" s="118"/>
      <c r="E75" s="129"/>
      <c r="F75" s="121">
        <v>2</v>
      </c>
      <c r="G75" s="122">
        <v>2</v>
      </c>
      <c r="H75" s="123">
        <f t="shared" si="4"/>
        <v>3</v>
      </c>
      <c r="I75" s="124" t="s">
        <v>682</v>
      </c>
      <c r="J75" s="125">
        <v>4</v>
      </c>
      <c r="K75" s="122">
        <v>2</v>
      </c>
      <c r="L75" s="111">
        <f t="shared" si="3"/>
        <v>5</v>
      </c>
      <c r="M75" s="124" t="s">
        <v>675</v>
      </c>
      <c r="N75" s="111">
        <v>5</v>
      </c>
      <c r="O75" s="111" t="s">
        <v>608</v>
      </c>
      <c r="P75" s="136"/>
      <c r="Q75" s="128"/>
      <c r="R75" s="128"/>
      <c r="S75" s="128"/>
      <c r="T75" s="128"/>
      <c r="U75" s="128"/>
      <c r="V75" s="128"/>
      <c r="W75" s="128"/>
      <c r="X75" s="128"/>
    </row>
    <row r="76" spans="1:24" ht="48">
      <c r="A76" s="118" t="s">
        <v>435</v>
      </c>
      <c r="B76" s="119" t="s">
        <v>683</v>
      </c>
      <c r="C76" s="119" t="s">
        <v>684</v>
      </c>
      <c r="D76" s="118"/>
      <c r="E76" s="129"/>
      <c r="F76" s="121">
        <v>1</v>
      </c>
      <c r="G76" s="122">
        <v>3</v>
      </c>
      <c r="H76" s="123">
        <f t="shared" si="4"/>
        <v>3</v>
      </c>
      <c r="I76" s="124" t="s">
        <v>685</v>
      </c>
      <c r="J76" s="125">
        <v>4</v>
      </c>
      <c r="K76" s="122">
        <v>2</v>
      </c>
      <c r="L76" s="111">
        <f t="shared" si="3"/>
        <v>5</v>
      </c>
      <c r="M76" s="124" t="s">
        <v>686</v>
      </c>
      <c r="N76" s="111">
        <v>5</v>
      </c>
      <c r="O76" s="111" t="s">
        <v>608</v>
      </c>
      <c r="P76" s="136"/>
      <c r="Q76" s="128"/>
      <c r="R76" s="128"/>
      <c r="S76" s="128"/>
      <c r="T76" s="128"/>
      <c r="U76" s="128"/>
      <c r="V76" s="128"/>
      <c r="W76" s="128"/>
      <c r="X76" s="128"/>
    </row>
    <row r="77" spans="1:24" ht="36">
      <c r="A77" s="118" t="s">
        <v>435</v>
      </c>
      <c r="B77" s="119" t="s">
        <v>687</v>
      </c>
      <c r="C77" s="119" t="s">
        <v>688</v>
      </c>
      <c r="D77" s="118"/>
      <c r="E77" s="129"/>
      <c r="F77" s="121">
        <v>2</v>
      </c>
      <c r="G77" s="122">
        <v>2</v>
      </c>
      <c r="H77" s="123">
        <f t="shared" si="4"/>
        <v>3</v>
      </c>
      <c r="I77" s="124" t="s">
        <v>689</v>
      </c>
      <c r="J77" s="125">
        <v>4</v>
      </c>
      <c r="K77" s="122">
        <v>2</v>
      </c>
      <c r="L77" s="111">
        <f t="shared" si="3"/>
        <v>5</v>
      </c>
      <c r="M77" s="124" t="s">
        <v>690</v>
      </c>
      <c r="N77" s="111">
        <v>5</v>
      </c>
      <c r="O77" s="111" t="s">
        <v>608</v>
      </c>
      <c r="P77" s="136"/>
      <c r="Q77" s="128"/>
      <c r="R77" s="128"/>
      <c r="S77" s="128"/>
      <c r="T77" s="128"/>
      <c r="U77" s="128"/>
      <c r="V77" s="128"/>
      <c r="W77" s="128"/>
      <c r="X77" s="128"/>
    </row>
    <row r="78" spans="1:24" ht="36">
      <c r="A78" s="118" t="s">
        <v>435</v>
      </c>
      <c r="B78" s="119" t="s">
        <v>691</v>
      </c>
      <c r="C78" s="119" t="s">
        <v>692</v>
      </c>
      <c r="D78" s="134"/>
      <c r="E78" s="129"/>
      <c r="F78" s="121">
        <v>2</v>
      </c>
      <c r="G78" s="122">
        <v>3</v>
      </c>
      <c r="H78" s="123">
        <f t="shared" si="4"/>
        <v>4</v>
      </c>
      <c r="I78" s="124" t="s">
        <v>482</v>
      </c>
      <c r="J78" s="125">
        <v>4</v>
      </c>
      <c r="K78" s="122">
        <v>2</v>
      </c>
      <c r="L78" s="111">
        <f t="shared" si="3"/>
        <v>5</v>
      </c>
      <c r="M78" s="124" t="s">
        <v>693</v>
      </c>
      <c r="N78" s="111">
        <v>5</v>
      </c>
      <c r="O78" s="111" t="s">
        <v>608</v>
      </c>
      <c r="P78" s="136"/>
      <c r="Q78" s="128"/>
      <c r="R78" s="128"/>
      <c r="S78" s="128"/>
      <c r="T78" s="128"/>
      <c r="U78" s="128"/>
      <c r="V78" s="128"/>
      <c r="W78" s="128"/>
      <c r="X78" s="128"/>
    </row>
    <row r="79" spans="1:24" ht="60">
      <c r="A79" s="118" t="s">
        <v>435</v>
      </c>
      <c r="B79" s="119" t="s">
        <v>694</v>
      </c>
      <c r="C79" s="119" t="s">
        <v>695</v>
      </c>
      <c r="D79" s="118"/>
      <c r="E79" s="129"/>
      <c r="F79" s="121">
        <v>2</v>
      </c>
      <c r="G79" s="122">
        <v>3</v>
      </c>
      <c r="H79" s="123">
        <f t="shared" si="4"/>
        <v>4</v>
      </c>
      <c r="I79" s="124" t="s">
        <v>500</v>
      </c>
      <c r="J79" s="125">
        <v>4</v>
      </c>
      <c r="K79" s="122">
        <v>2</v>
      </c>
      <c r="L79" s="111">
        <f t="shared" si="3"/>
        <v>5</v>
      </c>
      <c r="M79" s="124" t="s">
        <v>696</v>
      </c>
      <c r="N79" s="111">
        <v>5</v>
      </c>
      <c r="O79" s="111" t="s">
        <v>608</v>
      </c>
      <c r="P79" s="136"/>
      <c r="Q79" s="128"/>
      <c r="R79" s="128"/>
      <c r="S79" s="128"/>
      <c r="T79" s="128"/>
      <c r="U79" s="128"/>
      <c r="V79" s="128"/>
      <c r="W79" s="128"/>
      <c r="X79" s="128"/>
    </row>
    <row r="80" spans="1:24" ht="36">
      <c r="A80" s="118" t="s">
        <v>435</v>
      </c>
      <c r="B80" s="119" t="s">
        <v>697</v>
      </c>
      <c r="C80" s="119" t="s">
        <v>698</v>
      </c>
      <c r="D80" s="118"/>
      <c r="E80" s="129"/>
      <c r="F80" s="121">
        <v>2</v>
      </c>
      <c r="G80" s="122">
        <v>3</v>
      </c>
      <c r="H80" s="123">
        <f t="shared" si="4"/>
        <v>4</v>
      </c>
      <c r="I80" s="124" t="s">
        <v>448</v>
      </c>
      <c r="J80" s="125">
        <v>4</v>
      </c>
      <c r="K80" s="122">
        <v>2</v>
      </c>
      <c r="L80" s="111">
        <f t="shared" si="3"/>
        <v>5</v>
      </c>
      <c r="M80" s="124" t="s">
        <v>449</v>
      </c>
      <c r="N80" s="111">
        <v>5</v>
      </c>
      <c r="O80" s="111" t="s">
        <v>608</v>
      </c>
      <c r="P80" s="136"/>
      <c r="Q80" s="128"/>
      <c r="R80" s="128"/>
      <c r="S80" s="128"/>
      <c r="T80" s="128"/>
      <c r="U80" s="128"/>
      <c r="V80" s="128"/>
      <c r="W80" s="128"/>
      <c r="X80" s="128"/>
    </row>
    <row r="81" spans="1:24" ht="36">
      <c r="A81" s="118" t="s">
        <v>435</v>
      </c>
      <c r="B81" s="119" t="s">
        <v>699</v>
      </c>
      <c r="C81" s="119" t="s">
        <v>700</v>
      </c>
      <c r="D81" s="118"/>
      <c r="E81" s="120" t="s">
        <v>701</v>
      </c>
      <c r="F81" s="121">
        <v>2</v>
      </c>
      <c r="G81" s="122">
        <v>2</v>
      </c>
      <c r="H81" s="123">
        <f t="shared" si="4"/>
        <v>3</v>
      </c>
      <c r="I81" s="124" t="s">
        <v>702</v>
      </c>
      <c r="J81" s="125">
        <v>4</v>
      </c>
      <c r="K81" s="122">
        <v>2</v>
      </c>
      <c r="L81" s="111">
        <f t="shared" si="3"/>
        <v>5</v>
      </c>
      <c r="M81" s="124" t="s">
        <v>703</v>
      </c>
      <c r="N81" s="111">
        <v>5</v>
      </c>
      <c r="O81" s="111" t="s">
        <v>608</v>
      </c>
      <c r="P81" s="136"/>
      <c r="Q81" s="128"/>
      <c r="R81" s="128"/>
      <c r="S81" s="128"/>
      <c r="T81" s="128"/>
      <c r="U81" s="128"/>
      <c r="V81" s="128"/>
      <c r="W81" s="128"/>
      <c r="X81" s="128"/>
    </row>
    <row r="82" spans="1:24" ht="24">
      <c r="A82" s="118" t="s">
        <v>435</v>
      </c>
      <c r="B82" s="119" t="s">
        <v>704</v>
      </c>
      <c r="C82" s="119" t="s">
        <v>705</v>
      </c>
      <c r="D82" s="118"/>
      <c r="E82" s="129"/>
      <c r="F82" s="121">
        <v>2</v>
      </c>
      <c r="G82" s="122">
        <v>3</v>
      </c>
      <c r="H82" s="123">
        <f t="shared" si="4"/>
        <v>4</v>
      </c>
      <c r="I82" s="124" t="s">
        <v>444</v>
      </c>
      <c r="J82" s="125">
        <v>4</v>
      </c>
      <c r="K82" s="122">
        <v>2</v>
      </c>
      <c r="L82" s="111">
        <f t="shared" si="3"/>
        <v>5</v>
      </c>
      <c r="M82" s="124" t="s">
        <v>706</v>
      </c>
      <c r="N82" s="111">
        <v>5</v>
      </c>
      <c r="O82" s="111" t="s">
        <v>608</v>
      </c>
      <c r="P82" s="136"/>
      <c r="Q82" s="128"/>
      <c r="R82" s="128"/>
      <c r="S82" s="128"/>
      <c r="T82" s="128"/>
      <c r="U82" s="128"/>
      <c r="V82" s="128"/>
      <c r="W82" s="128"/>
      <c r="X82" s="128"/>
    </row>
    <row r="83" spans="1:24" ht="24">
      <c r="A83" s="118" t="s">
        <v>435</v>
      </c>
      <c r="B83" s="119" t="s">
        <v>707</v>
      </c>
      <c r="C83" s="119" t="s">
        <v>708</v>
      </c>
      <c r="D83" s="134"/>
      <c r="E83" s="129"/>
      <c r="F83" s="121">
        <v>2</v>
      </c>
      <c r="G83" s="122">
        <v>2</v>
      </c>
      <c r="H83" s="123">
        <f t="shared" si="4"/>
        <v>3</v>
      </c>
      <c r="I83" s="124" t="s">
        <v>709</v>
      </c>
      <c r="J83" s="125">
        <v>4</v>
      </c>
      <c r="K83" s="122">
        <v>2</v>
      </c>
      <c r="L83" s="111">
        <f t="shared" si="3"/>
        <v>5</v>
      </c>
      <c r="M83" s="124" t="s">
        <v>440</v>
      </c>
      <c r="N83" s="111">
        <v>5</v>
      </c>
      <c r="O83" s="111" t="s">
        <v>608</v>
      </c>
      <c r="P83" s="136"/>
      <c r="Q83" s="128"/>
      <c r="R83" s="128"/>
      <c r="S83" s="128"/>
      <c r="T83" s="128"/>
      <c r="U83" s="128"/>
      <c r="V83" s="128"/>
      <c r="W83" s="128"/>
      <c r="X83" s="128"/>
    </row>
    <row r="84" spans="1:24" ht="48">
      <c r="A84" s="118" t="s">
        <v>435</v>
      </c>
      <c r="B84" s="119" t="s">
        <v>710</v>
      </c>
      <c r="C84" s="119" t="s">
        <v>711</v>
      </c>
      <c r="D84" s="118"/>
      <c r="E84" s="120" t="s">
        <v>712</v>
      </c>
      <c r="F84" s="121">
        <v>3</v>
      </c>
      <c r="G84" s="122">
        <v>2</v>
      </c>
      <c r="H84" s="123">
        <f t="shared" si="4"/>
        <v>4</v>
      </c>
      <c r="I84" s="124" t="s">
        <v>624</v>
      </c>
      <c r="J84" s="125">
        <v>4</v>
      </c>
      <c r="K84" s="122">
        <v>2</v>
      </c>
      <c r="L84" s="111">
        <f t="shared" si="3"/>
        <v>5</v>
      </c>
      <c r="M84" s="124" t="s">
        <v>713</v>
      </c>
      <c r="N84" s="111">
        <v>5</v>
      </c>
      <c r="O84" s="111" t="s">
        <v>608</v>
      </c>
      <c r="P84" s="136"/>
      <c r="Q84" s="128"/>
      <c r="R84" s="128"/>
      <c r="S84" s="128"/>
      <c r="T84" s="128"/>
      <c r="U84" s="128"/>
      <c r="V84" s="128"/>
      <c r="W84" s="128"/>
      <c r="X84" s="128"/>
    </row>
    <row r="85" spans="1:24" ht="36">
      <c r="A85" s="118" t="s">
        <v>435</v>
      </c>
      <c r="B85" s="119" t="s">
        <v>714</v>
      </c>
      <c r="C85" s="119" t="s">
        <v>715</v>
      </c>
      <c r="D85" s="118"/>
      <c r="E85" s="120" t="s">
        <v>716</v>
      </c>
      <c r="F85" s="121">
        <v>2</v>
      </c>
      <c r="G85" s="122">
        <v>2</v>
      </c>
      <c r="H85" s="123">
        <f t="shared" si="4"/>
        <v>3</v>
      </c>
      <c r="I85" s="124" t="s">
        <v>671</v>
      </c>
      <c r="J85" s="125">
        <v>4</v>
      </c>
      <c r="K85" s="122">
        <v>2</v>
      </c>
      <c r="L85" s="111">
        <f t="shared" si="3"/>
        <v>5</v>
      </c>
      <c r="M85" s="124" t="s">
        <v>675</v>
      </c>
      <c r="N85" s="111">
        <v>5</v>
      </c>
      <c r="O85" s="111" t="s">
        <v>608</v>
      </c>
      <c r="P85" s="136"/>
      <c r="Q85" s="128"/>
      <c r="R85" s="128"/>
      <c r="S85" s="128"/>
      <c r="T85" s="128"/>
      <c r="U85" s="128"/>
      <c r="V85" s="128"/>
      <c r="W85" s="128"/>
      <c r="X85" s="128"/>
    </row>
    <row r="86" spans="1:24" ht="48">
      <c r="A86" s="118" t="s">
        <v>435</v>
      </c>
      <c r="B86" s="119" t="s">
        <v>717</v>
      </c>
      <c r="C86" s="119" t="s">
        <v>718</v>
      </c>
      <c r="D86" s="134"/>
      <c r="E86" s="129"/>
      <c r="F86" s="121">
        <v>2</v>
      </c>
      <c r="G86" s="122">
        <v>3</v>
      </c>
      <c r="H86" s="123">
        <f t="shared" si="4"/>
        <v>4</v>
      </c>
      <c r="I86" s="124" t="s">
        <v>719</v>
      </c>
      <c r="J86" s="125">
        <v>4</v>
      </c>
      <c r="K86" s="122">
        <v>2</v>
      </c>
      <c r="L86" s="111">
        <f t="shared" si="3"/>
        <v>5</v>
      </c>
      <c r="M86" s="124" t="s">
        <v>497</v>
      </c>
      <c r="N86" s="111">
        <v>5</v>
      </c>
      <c r="O86" s="111" t="s">
        <v>608</v>
      </c>
      <c r="P86" s="136"/>
      <c r="Q86" s="128"/>
      <c r="R86" s="128"/>
      <c r="S86" s="128"/>
      <c r="T86" s="128"/>
      <c r="U86" s="128"/>
      <c r="V86" s="128"/>
      <c r="W86" s="128"/>
      <c r="X86" s="128"/>
    </row>
    <row r="87" spans="1:24" ht="36">
      <c r="A87" s="118" t="s">
        <v>435</v>
      </c>
      <c r="B87" s="119" t="s">
        <v>720</v>
      </c>
      <c r="C87" s="119" t="s">
        <v>721</v>
      </c>
      <c r="D87" s="118"/>
      <c r="E87" s="129"/>
      <c r="F87" s="121">
        <v>2</v>
      </c>
      <c r="G87" s="122">
        <v>2</v>
      </c>
      <c r="H87" s="123">
        <f t="shared" si="4"/>
        <v>3</v>
      </c>
      <c r="I87" s="124" t="s">
        <v>722</v>
      </c>
      <c r="J87" s="125">
        <v>4</v>
      </c>
      <c r="K87" s="122">
        <v>2</v>
      </c>
      <c r="L87" s="111">
        <f t="shared" si="3"/>
        <v>5</v>
      </c>
      <c r="M87" s="124" t="s">
        <v>723</v>
      </c>
      <c r="N87" s="111">
        <v>5</v>
      </c>
      <c r="O87" s="111" t="s">
        <v>608</v>
      </c>
      <c r="P87" s="136"/>
      <c r="Q87" s="128"/>
      <c r="R87" s="128"/>
      <c r="S87" s="128"/>
      <c r="T87" s="128"/>
      <c r="U87" s="128"/>
      <c r="V87" s="128"/>
      <c r="W87" s="128"/>
      <c r="X87" s="128"/>
    </row>
    <row r="88" spans="1:24" ht="48">
      <c r="A88" s="118" t="s">
        <v>435</v>
      </c>
      <c r="B88" s="119" t="s">
        <v>724</v>
      </c>
      <c r="C88" s="119" t="s">
        <v>725</v>
      </c>
      <c r="D88" s="134"/>
      <c r="E88" s="129"/>
      <c r="F88" s="121">
        <v>2</v>
      </c>
      <c r="G88" s="122">
        <v>2</v>
      </c>
      <c r="H88" s="123">
        <f t="shared" si="4"/>
        <v>3</v>
      </c>
      <c r="I88" s="124" t="s">
        <v>624</v>
      </c>
      <c r="J88" s="125">
        <v>4</v>
      </c>
      <c r="K88" s="122">
        <v>2</v>
      </c>
      <c r="L88" s="111">
        <f t="shared" si="3"/>
        <v>5</v>
      </c>
      <c r="M88" s="124" t="s">
        <v>483</v>
      </c>
      <c r="N88" s="111">
        <v>5</v>
      </c>
      <c r="O88" s="111" t="s">
        <v>608</v>
      </c>
      <c r="P88" s="136"/>
      <c r="Q88" s="128"/>
      <c r="R88" s="128"/>
      <c r="S88" s="128"/>
      <c r="T88" s="128"/>
      <c r="U88" s="128"/>
      <c r="V88" s="128"/>
      <c r="W88" s="128"/>
      <c r="X88" s="128"/>
    </row>
    <row r="89" spans="1:24" ht="36">
      <c r="A89" s="118" t="s">
        <v>435</v>
      </c>
      <c r="B89" s="119" t="s">
        <v>726</v>
      </c>
      <c r="C89" s="119" t="s">
        <v>727</v>
      </c>
      <c r="D89" s="134"/>
      <c r="E89" s="120" t="s">
        <v>728</v>
      </c>
      <c r="F89" s="121">
        <v>3</v>
      </c>
      <c r="G89" s="122">
        <v>2</v>
      </c>
      <c r="H89" s="123">
        <f t="shared" si="4"/>
        <v>4</v>
      </c>
      <c r="I89" s="124" t="s">
        <v>729</v>
      </c>
      <c r="J89" s="125">
        <v>4</v>
      </c>
      <c r="K89" s="122">
        <v>2</v>
      </c>
      <c r="L89" s="111">
        <f t="shared" si="3"/>
        <v>5</v>
      </c>
      <c r="M89" s="124" t="s">
        <v>730</v>
      </c>
      <c r="N89" s="111">
        <v>5</v>
      </c>
      <c r="O89" s="111" t="s">
        <v>608</v>
      </c>
      <c r="P89" s="136"/>
      <c r="Q89" s="128"/>
      <c r="R89" s="128"/>
      <c r="S89" s="128"/>
      <c r="T89" s="128"/>
      <c r="U89" s="128"/>
      <c r="V89" s="128"/>
      <c r="W89" s="128"/>
      <c r="X89" s="128"/>
    </row>
    <row r="90" spans="1:24" ht="36">
      <c r="A90" s="118" t="s">
        <v>435</v>
      </c>
      <c r="B90" s="119" t="s">
        <v>731</v>
      </c>
      <c r="C90" s="119" t="s">
        <v>732</v>
      </c>
      <c r="D90" s="118"/>
      <c r="E90" s="129"/>
      <c r="F90" s="121">
        <v>2</v>
      </c>
      <c r="G90" s="122">
        <v>2</v>
      </c>
      <c r="H90" s="123">
        <f t="shared" si="4"/>
        <v>3</v>
      </c>
      <c r="I90" s="124" t="s">
        <v>733</v>
      </c>
      <c r="J90" s="125">
        <v>4</v>
      </c>
      <c r="K90" s="122">
        <v>2</v>
      </c>
      <c r="L90" s="111">
        <f t="shared" si="3"/>
        <v>5</v>
      </c>
      <c r="M90" s="124" t="s">
        <v>723</v>
      </c>
      <c r="N90" s="111">
        <v>5</v>
      </c>
      <c r="O90" s="111" t="s">
        <v>608</v>
      </c>
      <c r="P90" s="136"/>
      <c r="Q90" s="128"/>
      <c r="R90" s="128"/>
      <c r="S90" s="128"/>
      <c r="T90" s="128"/>
      <c r="U90" s="128"/>
      <c r="V90" s="128"/>
      <c r="W90" s="128"/>
      <c r="X90" s="128"/>
    </row>
    <row r="91" spans="1:24" ht="60">
      <c r="A91" s="118" t="s">
        <v>435</v>
      </c>
      <c r="B91" s="119" t="s">
        <v>734</v>
      </c>
      <c r="C91" s="119" t="s">
        <v>735</v>
      </c>
      <c r="D91" s="118"/>
      <c r="E91" s="129"/>
      <c r="F91" s="121">
        <v>2</v>
      </c>
      <c r="G91" s="122">
        <v>2</v>
      </c>
      <c r="H91" s="123">
        <f t="shared" si="4"/>
        <v>3</v>
      </c>
      <c r="I91" s="124" t="s">
        <v>736</v>
      </c>
      <c r="J91" s="125">
        <v>4</v>
      </c>
      <c r="K91" s="122">
        <v>2</v>
      </c>
      <c r="L91" s="111">
        <f t="shared" si="3"/>
        <v>5</v>
      </c>
      <c r="M91" s="124" t="s">
        <v>737</v>
      </c>
      <c r="N91" s="111">
        <v>5</v>
      </c>
      <c r="O91" s="111" t="s">
        <v>608</v>
      </c>
      <c r="P91" s="136"/>
      <c r="Q91" s="128"/>
      <c r="R91" s="128"/>
      <c r="S91" s="128"/>
      <c r="T91" s="128"/>
      <c r="U91" s="128"/>
      <c r="V91" s="128"/>
      <c r="W91" s="128"/>
      <c r="X91" s="128"/>
    </row>
    <row r="92" spans="1:24" ht="48">
      <c r="A92" s="118" t="s">
        <v>435</v>
      </c>
      <c r="B92" s="119" t="s">
        <v>738</v>
      </c>
      <c r="C92" s="119" t="s">
        <v>739</v>
      </c>
      <c r="D92" s="118"/>
      <c r="E92" s="129"/>
      <c r="F92" s="121">
        <v>1</v>
      </c>
      <c r="G92" s="122">
        <v>3</v>
      </c>
      <c r="H92" s="123">
        <f t="shared" si="4"/>
        <v>3</v>
      </c>
      <c r="I92" s="124" t="s">
        <v>740</v>
      </c>
      <c r="J92" s="125">
        <v>4</v>
      </c>
      <c r="K92" s="122">
        <v>2</v>
      </c>
      <c r="L92" s="111">
        <f t="shared" si="3"/>
        <v>5</v>
      </c>
      <c r="M92" s="124" t="s">
        <v>741</v>
      </c>
      <c r="N92" s="111">
        <v>5</v>
      </c>
      <c r="O92" s="111" t="s">
        <v>608</v>
      </c>
      <c r="P92" s="136"/>
      <c r="Q92" s="128"/>
      <c r="R92" s="128"/>
      <c r="S92" s="128"/>
      <c r="T92" s="128"/>
      <c r="U92" s="128"/>
      <c r="V92" s="128"/>
      <c r="W92" s="128"/>
      <c r="X92" s="128"/>
    </row>
    <row r="93" spans="1:24" ht="60">
      <c r="A93" s="118" t="s">
        <v>435</v>
      </c>
      <c r="B93" s="119" t="s">
        <v>742</v>
      </c>
      <c r="C93" s="119" t="s">
        <v>743</v>
      </c>
      <c r="D93" s="134"/>
      <c r="E93" s="129"/>
      <c r="F93" s="121">
        <v>3</v>
      </c>
      <c r="G93" s="122">
        <v>2</v>
      </c>
      <c r="H93" s="123">
        <f t="shared" si="4"/>
        <v>4</v>
      </c>
      <c r="I93" s="124" t="s">
        <v>744</v>
      </c>
      <c r="J93" s="125">
        <v>4</v>
      </c>
      <c r="K93" s="122">
        <v>2</v>
      </c>
      <c r="L93" s="111">
        <f t="shared" si="3"/>
        <v>5</v>
      </c>
      <c r="M93" s="124" t="s">
        <v>745</v>
      </c>
      <c r="N93" s="111">
        <v>5</v>
      </c>
      <c r="O93" s="111" t="s">
        <v>608</v>
      </c>
      <c r="P93" s="136"/>
      <c r="Q93" s="128"/>
      <c r="R93" s="128"/>
      <c r="S93" s="128"/>
      <c r="T93" s="128"/>
      <c r="U93" s="128"/>
      <c r="V93" s="128"/>
      <c r="W93" s="128"/>
      <c r="X93" s="128"/>
    </row>
    <row r="94" spans="1:24" ht="36">
      <c r="A94" s="118" t="s">
        <v>435</v>
      </c>
      <c r="B94" s="119" t="s">
        <v>746</v>
      </c>
      <c r="C94" s="119" t="s">
        <v>747</v>
      </c>
      <c r="D94" s="134"/>
      <c r="E94" s="129"/>
      <c r="F94" s="121">
        <v>2</v>
      </c>
      <c r="G94" s="122">
        <v>2</v>
      </c>
      <c r="H94" s="123">
        <f t="shared" si="4"/>
        <v>3</v>
      </c>
      <c r="I94" s="124" t="s">
        <v>748</v>
      </c>
      <c r="J94" s="125">
        <v>4</v>
      </c>
      <c r="K94" s="122">
        <v>2</v>
      </c>
      <c r="L94" s="111">
        <f t="shared" si="3"/>
        <v>5</v>
      </c>
      <c r="M94" s="124" t="s">
        <v>749</v>
      </c>
      <c r="N94" s="111">
        <v>5</v>
      </c>
      <c r="O94" s="111" t="s">
        <v>608</v>
      </c>
      <c r="P94" s="136"/>
      <c r="Q94" s="128"/>
      <c r="R94" s="128"/>
      <c r="S94" s="128"/>
      <c r="T94" s="128"/>
      <c r="U94" s="128"/>
      <c r="V94" s="128"/>
      <c r="W94" s="128"/>
      <c r="X94" s="128"/>
    </row>
    <row r="95" spans="1:24" ht="48">
      <c r="A95" s="118" t="s">
        <v>435</v>
      </c>
      <c r="B95" s="119" t="s">
        <v>750</v>
      </c>
      <c r="C95" s="119" t="s">
        <v>751</v>
      </c>
      <c r="D95" s="134"/>
      <c r="E95" s="129"/>
      <c r="F95" s="121">
        <v>2</v>
      </c>
      <c r="G95" s="122">
        <v>3</v>
      </c>
      <c r="H95" s="123">
        <f t="shared" si="4"/>
        <v>4</v>
      </c>
      <c r="I95" s="124" t="s">
        <v>752</v>
      </c>
      <c r="J95" s="125">
        <v>4</v>
      </c>
      <c r="K95" s="122">
        <v>2</v>
      </c>
      <c r="L95" s="111">
        <f t="shared" si="3"/>
        <v>5</v>
      </c>
      <c r="M95" s="124" t="s">
        <v>648</v>
      </c>
      <c r="N95" s="111">
        <v>5</v>
      </c>
      <c r="O95" s="111" t="s">
        <v>608</v>
      </c>
      <c r="P95" s="136"/>
      <c r="Q95" s="128"/>
      <c r="R95" s="128"/>
      <c r="S95" s="128"/>
      <c r="T95" s="128"/>
      <c r="U95" s="128"/>
      <c r="V95" s="128"/>
      <c r="W95" s="128"/>
      <c r="X95" s="128"/>
    </row>
    <row r="96" spans="1:24" ht="36">
      <c r="A96" s="118" t="s">
        <v>591</v>
      </c>
      <c r="B96" s="119" t="s">
        <v>753</v>
      </c>
      <c r="C96" s="119" t="s">
        <v>754</v>
      </c>
      <c r="D96" s="118"/>
      <c r="E96" s="129"/>
      <c r="F96" s="121">
        <v>2</v>
      </c>
      <c r="G96" s="122">
        <v>3</v>
      </c>
      <c r="H96" s="123">
        <f t="shared" si="4"/>
        <v>4</v>
      </c>
      <c r="I96" s="124" t="s">
        <v>755</v>
      </c>
      <c r="J96" s="125">
        <v>4</v>
      </c>
      <c r="K96" s="122">
        <v>2</v>
      </c>
      <c r="L96" s="111">
        <f t="shared" si="3"/>
        <v>5</v>
      </c>
      <c r="M96" s="124" t="s">
        <v>756</v>
      </c>
      <c r="N96" s="111">
        <v>5</v>
      </c>
      <c r="O96" s="111" t="s">
        <v>608</v>
      </c>
      <c r="P96" s="136"/>
      <c r="Q96" s="128"/>
      <c r="R96" s="128"/>
      <c r="S96" s="128"/>
      <c r="T96" s="128"/>
      <c r="U96" s="128"/>
      <c r="V96" s="128"/>
      <c r="W96" s="128"/>
      <c r="X96" s="128"/>
    </row>
    <row r="97" spans="1:24" ht="48">
      <c r="A97" s="118" t="s">
        <v>591</v>
      </c>
      <c r="B97" s="119" t="s">
        <v>757</v>
      </c>
      <c r="C97" s="119" t="s">
        <v>758</v>
      </c>
      <c r="D97" s="118"/>
      <c r="E97" s="129"/>
      <c r="F97" s="121">
        <v>2</v>
      </c>
      <c r="G97" s="122">
        <v>2</v>
      </c>
      <c r="H97" s="123">
        <f t="shared" si="4"/>
        <v>3</v>
      </c>
      <c r="I97" s="124" t="s">
        <v>759</v>
      </c>
      <c r="J97" s="125">
        <v>4</v>
      </c>
      <c r="K97" s="122">
        <v>2</v>
      </c>
      <c r="L97" s="111">
        <f t="shared" si="3"/>
        <v>5</v>
      </c>
      <c r="M97" s="124" t="s">
        <v>760</v>
      </c>
      <c r="N97" s="111">
        <v>5</v>
      </c>
      <c r="O97" s="111" t="s">
        <v>608</v>
      </c>
      <c r="P97" s="136"/>
      <c r="Q97" s="128"/>
      <c r="R97" s="128"/>
      <c r="S97" s="128"/>
      <c r="T97" s="128"/>
      <c r="U97" s="128"/>
      <c r="V97" s="128"/>
      <c r="W97" s="128"/>
      <c r="X97" s="128"/>
    </row>
    <row r="98" spans="1:24" ht="36">
      <c r="A98" s="118" t="s">
        <v>591</v>
      </c>
      <c r="B98" s="119" t="s">
        <v>761</v>
      </c>
      <c r="C98" s="119" t="s">
        <v>762</v>
      </c>
      <c r="D98" s="118"/>
      <c r="E98" s="129"/>
      <c r="F98" s="121">
        <v>3</v>
      </c>
      <c r="G98" s="122">
        <v>2</v>
      </c>
      <c r="H98" s="123">
        <f t="shared" si="4"/>
        <v>4</v>
      </c>
      <c r="I98" s="124" t="s">
        <v>763</v>
      </c>
      <c r="J98" s="125">
        <v>4</v>
      </c>
      <c r="K98" s="122">
        <v>2</v>
      </c>
      <c r="L98" s="111">
        <f t="shared" si="3"/>
        <v>5</v>
      </c>
      <c r="M98" s="124" t="s">
        <v>760</v>
      </c>
      <c r="N98" s="111">
        <v>5</v>
      </c>
      <c r="O98" s="111" t="s">
        <v>608</v>
      </c>
      <c r="P98" s="136"/>
      <c r="Q98" s="128"/>
      <c r="R98" s="128"/>
      <c r="S98" s="128"/>
      <c r="T98" s="128"/>
      <c r="U98" s="128"/>
      <c r="V98" s="128"/>
      <c r="W98" s="128"/>
      <c r="X98" s="128"/>
    </row>
    <row r="99" spans="1:24" ht="36">
      <c r="A99" s="118" t="s">
        <v>591</v>
      </c>
      <c r="B99" s="119" t="s">
        <v>764</v>
      </c>
      <c r="C99" s="119" t="s">
        <v>765</v>
      </c>
      <c r="D99" s="118"/>
      <c r="E99" s="129"/>
      <c r="F99" s="121">
        <v>3</v>
      </c>
      <c r="G99" s="122">
        <v>2</v>
      </c>
      <c r="H99" s="123">
        <f t="shared" si="4"/>
        <v>4</v>
      </c>
      <c r="I99" s="124" t="s">
        <v>763</v>
      </c>
      <c r="J99" s="125">
        <v>4</v>
      </c>
      <c r="K99" s="122">
        <v>2</v>
      </c>
      <c r="L99" s="111">
        <f t="shared" si="3"/>
        <v>5</v>
      </c>
      <c r="M99" s="124" t="s">
        <v>760</v>
      </c>
      <c r="N99" s="111">
        <v>5</v>
      </c>
      <c r="O99" s="111" t="s">
        <v>608</v>
      </c>
      <c r="P99" s="136"/>
      <c r="Q99" s="128"/>
      <c r="R99" s="128"/>
      <c r="S99" s="128"/>
      <c r="T99" s="128"/>
      <c r="U99" s="128"/>
      <c r="V99" s="128"/>
      <c r="W99" s="128"/>
      <c r="X99" s="128"/>
    </row>
    <row r="100" spans="1:24" ht="36">
      <c r="A100" s="118" t="s">
        <v>591</v>
      </c>
      <c r="B100" s="119" t="s">
        <v>766</v>
      </c>
      <c r="C100" s="119" t="s">
        <v>767</v>
      </c>
      <c r="D100" s="118"/>
      <c r="E100" s="129"/>
      <c r="F100" s="121">
        <v>3</v>
      </c>
      <c r="G100" s="122">
        <v>2</v>
      </c>
      <c r="H100" s="123">
        <f t="shared" si="4"/>
        <v>4</v>
      </c>
      <c r="I100" s="124" t="s">
        <v>763</v>
      </c>
      <c r="J100" s="125">
        <v>4</v>
      </c>
      <c r="K100" s="122">
        <v>2</v>
      </c>
      <c r="L100" s="111">
        <f t="shared" si="3"/>
        <v>5</v>
      </c>
      <c r="M100" s="124" t="s">
        <v>760</v>
      </c>
      <c r="N100" s="111">
        <v>5</v>
      </c>
      <c r="O100" s="111" t="s">
        <v>608</v>
      </c>
      <c r="P100" s="136"/>
      <c r="Q100" s="128"/>
      <c r="R100" s="128"/>
      <c r="S100" s="128"/>
      <c r="T100" s="128"/>
      <c r="U100" s="128"/>
      <c r="V100" s="128"/>
      <c r="W100" s="128"/>
      <c r="X100" s="128"/>
    </row>
    <row r="101" spans="1:24" ht="60">
      <c r="A101" s="118" t="s">
        <v>591</v>
      </c>
      <c r="B101" s="119" t="s">
        <v>768</v>
      </c>
      <c r="C101" s="119" t="s">
        <v>769</v>
      </c>
      <c r="D101" s="118"/>
      <c r="E101" s="129"/>
      <c r="F101" s="141" t="s">
        <v>441</v>
      </c>
      <c r="G101" s="138" t="s">
        <v>441</v>
      </c>
      <c r="H101" s="139" t="s">
        <v>441</v>
      </c>
      <c r="I101" s="124" t="s">
        <v>770</v>
      </c>
      <c r="J101" s="125">
        <v>4</v>
      </c>
      <c r="K101" s="122">
        <v>2</v>
      </c>
      <c r="L101" s="111">
        <f t="shared" si="3"/>
        <v>5</v>
      </c>
      <c r="M101" s="124" t="s">
        <v>760</v>
      </c>
      <c r="N101" s="111">
        <v>5</v>
      </c>
      <c r="O101" s="111" t="s">
        <v>608</v>
      </c>
      <c r="P101" s="136"/>
      <c r="Q101" s="128"/>
      <c r="R101" s="128"/>
      <c r="S101" s="128"/>
      <c r="T101" s="128"/>
      <c r="U101" s="128"/>
      <c r="V101" s="128"/>
      <c r="W101" s="128"/>
      <c r="X101" s="128"/>
    </row>
    <row r="102" spans="1:24" ht="60">
      <c r="A102" s="118" t="s">
        <v>450</v>
      </c>
      <c r="B102" s="119" t="s">
        <v>771</v>
      </c>
      <c r="C102" s="119" t="s">
        <v>772</v>
      </c>
      <c r="D102" s="118"/>
      <c r="E102" s="129"/>
      <c r="F102" s="121">
        <v>4</v>
      </c>
      <c r="G102" s="122">
        <v>2</v>
      </c>
      <c r="H102" s="123">
        <f t="shared" ref="H102:H165" si="5">(F102+G102)-1</f>
        <v>5</v>
      </c>
      <c r="I102" s="124" t="s">
        <v>773</v>
      </c>
      <c r="J102" s="125">
        <v>3</v>
      </c>
      <c r="K102" s="122">
        <v>2</v>
      </c>
      <c r="L102" s="111">
        <f t="shared" si="3"/>
        <v>4</v>
      </c>
      <c r="M102" s="124" t="s">
        <v>774</v>
      </c>
      <c r="N102" s="111">
        <v>5</v>
      </c>
      <c r="O102" s="111" t="s">
        <v>608</v>
      </c>
      <c r="P102" s="136"/>
      <c r="Q102" s="128"/>
      <c r="R102" s="128"/>
      <c r="S102" s="128"/>
      <c r="T102" s="128"/>
      <c r="U102" s="128"/>
      <c r="V102" s="128"/>
      <c r="W102" s="128"/>
      <c r="X102" s="128"/>
    </row>
    <row r="103" spans="1:24" ht="36">
      <c r="A103" s="118" t="s">
        <v>435</v>
      </c>
      <c r="B103" s="119" t="s">
        <v>775</v>
      </c>
      <c r="C103" s="119" t="s">
        <v>776</v>
      </c>
      <c r="D103" s="134"/>
      <c r="E103" s="120" t="s">
        <v>777</v>
      </c>
      <c r="F103" s="121">
        <v>4</v>
      </c>
      <c r="G103" s="122">
        <v>2</v>
      </c>
      <c r="H103" s="123">
        <f t="shared" si="5"/>
        <v>5</v>
      </c>
      <c r="I103" s="124" t="s">
        <v>538</v>
      </c>
      <c r="J103" s="125">
        <v>3</v>
      </c>
      <c r="K103" s="122">
        <v>2</v>
      </c>
      <c r="L103" s="111">
        <f t="shared" si="3"/>
        <v>4</v>
      </c>
      <c r="M103" s="124" t="s">
        <v>778</v>
      </c>
      <c r="N103" s="111">
        <v>5</v>
      </c>
      <c r="O103" s="111" t="s">
        <v>608</v>
      </c>
      <c r="P103" s="136"/>
      <c r="Q103" s="128"/>
      <c r="R103" s="128"/>
      <c r="S103" s="128"/>
      <c r="T103" s="128"/>
      <c r="U103" s="128"/>
      <c r="V103" s="128"/>
      <c r="W103" s="128"/>
      <c r="X103" s="128"/>
    </row>
    <row r="104" spans="1:24" ht="36">
      <c r="A104" s="118" t="s">
        <v>435</v>
      </c>
      <c r="B104" s="119" t="s">
        <v>779</v>
      </c>
      <c r="C104" s="119" t="s">
        <v>776</v>
      </c>
      <c r="D104" s="118"/>
      <c r="E104" s="120" t="s">
        <v>780</v>
      </c>
      <c r="F104" s="121">
        <v>4</v>
      </c>
      <c r="G104" s="122">
        <v>2</v>
      </c>
      <c r="H104" s="123">
        <f t="shared" si="5"/>
        <v>5</v>
      </c>
      <c r="I104" s="124" t="s">
        <v>538</v>
      </c>
      <c r="J104" s="125">
        <v>2</v>
      </c>
      <c r="K104" s="122">
        <v>2</v>
      </c>
      <c r="L104" s="111">
        <f t="shared" si="3"/>
        <v>3</v>
      </c>
      <c r="M104" s="124" t="s">
        <v>781</v>
      </c>
      <c r="N104" s="111">
        <v>5</v>
      </c>
      <c r="O104" s="111" t="s">
        <v>608</v>
      </c>
      <c r="P104" s="136"/>
      <c r="Q104" s="128"/>
      <c r="R104" s="128"/>
      <c r="S104" s="128"/>
      <c r="T104" s="128"/>
      <c r="U104" s="128"/>
      <c r="V104" s="128"/>
      <c r="W104" s="128"/>
      <c r="X104" s="128"/>
    </row>
    <row r="105" spans="1:24" ht="48">
      <c r="A105" s="118" t="s">
        <v>435</v>
      </c>
      <c r="B105" s="119" t="s">
        <v>782</v>
      </c>
      <c r="C105" s="119" t="s">
        <v>783</v>
      </c>
      <c r="D105" s="134"/>
      <c r="E105" s="120" t="s">
        <v>784</v>
      </c>
      <c r="F105" s="121">
        <v>4</v>
      </c>
      <c r="G105" s="122">
        <v>2</v>
      </c>
      <c r="H105" s="123">
        <f t="shared" si="5"/>
        <v>5</v>
      </c>
      <c r="I105" s="124" t="s">
        <v>552</v>
      </c>
      <c r="J105" s="125">
        <v>2</v>
      </c>
      <c r="K105" s="122">
        <v>2</v>
      </c>
      <c r="L105" s="111">
        <f t="shared" si="3"/>
        <v>3</v>
      </c>
      <c r="M105" s="124" t="s">
        <v>785</v>
      </c>
      <c r="N105" s="111">
        <v>5</v>
      </c>
      <c r="O105" s="111" t="s">
        <v>608</v>
      </c>
      <c r="P105" s="136"/>
      <c r="Q105" s="128"/>
      <c r="R105" s="128"/>
      <c r="S105" s="128"/>
      <c r="T105" s="128"/>
      <c r="U105" s="128"/>
      <c r="V105" s="128"/>
      <c r="W105" s="128"/>
      <c r="X105" s="128"/>
    </row>
    <row r="106" spans="1:24">
      <c r="A106" s="118" t="s">
        <v>435</v>
      </c>
      <c r="B106" s="119" t="s">
        <v>786</v>
      </c>
      <c r="C106" s="119" t="s">
        <v>783</v>
      </c>
      <c r="D106" s="134"/>
      <c r="E106" s="120" t="s">
        <v>787</v>
      </c>
      <c r="F106" s="121">
        <v>4</v>
      </c>
      <c r="G106" s="122">
        <v>2</v>
      </c>
      <c r="H106" s="123">
        <f t="shared" si="5"/>
        <v>5</v>
      </c>
      <c r="I106" s="124" t="s">
        <v>788</v>
      </c>
      <c r="J106" s="125">
        <v>3</v>
      </c>
      <c r="K106" s="122">
        <v>2</v>
      </c>
      <c r="L106" s="111">
        <f t="shared" si="3"/>
        <v>4</v>
      </c>
      <c r="M106" s="124" t="s">
        <v>789</v>
      </c>
      <c r="N106" s="111">
        <v>5</v>
      </c>
      <c r="O106" s="111" t="s">
        <v>608</v>
      </c>
      <c r="P106" s="136"/>
      <c r="Q106" s="128"/>
      <c r="R106" s="128"/>
      <c r="S106" s="128"/>
      <c r="T106" s="128"/>
      <c r="U106" s="128"/>
      <c r="V106" s="128"/>
      <c r="W106" s="128"/>
      <c r="X106" s="128"/>
    </row>
    <row r="107" spans="1:24" ht="36">
      <c r="A107" s="118" t="s">
        <v>435</v>
      </c>
      <c r="B107" s="119" t="s">
        <v>790</v>
      </c>
      <c r="C107" s="119" t="s">
        <v>776</v>
      </c>
      <c r="D107" s="118"/>
      <c r="E107" s="120" t="s">
        <v>791</v>
      </c>
      <c r="F107" s="121">
        <v>4</v>
      </c>
      <c r="G107" s="122">
        <v>2</v>
      </c>
      <c r="H107" s="123">
        <f t="shared" si="5"/>
        <v>5</v>
      </c>
      <c r="I107" s="124" t="s">
        <v>538</v>
      </c>
      <c r="J107" s="125">
        <v>2</v>
      </c>
      <c r="K107" s="122">
        <v>1</v>
      </c>
      <c r="L107" s="111">
        <f t="shared" si="3"/>
        <v>2</v>
      </c>
      <c r="M107" s="124" t="s">
        <v>781</v>
      </c>
      <c r="N107" s="111">
        <v>5</v>
      </c>
      <c r="O107" s="111" t="s">
        <v>608</v>
      </c>
      <c r="P107" s="136"/>
      <c r="Q107" s="128"/>
      <c r="R107" s="128"/>
      <c r="S107" s="128"/>
      <c r="T107" s="128"/>
      <c r="U107" s="128"/>
      <c r="V107" s="128"/>
      <c r="W107" s="128"/>
      <c r="X107" s="128"/>
    </row>
    <row r="108" spans="1:24" ht="36">
      <c r="A108" s="118" t="s">
        <v>435</v>
      </c>
      <c r="B108" s="119" t="s">
        <v>792</v>
      </c>
      <c r="C108" s="142" t="s">
        <v>793</v>
      </c>
      <c r="D108" s="134"/>
      <c r="E108" s="120" t="s">
        <v>794</v>
      </c>
      <c r="F108" s="121">
        <v>4</v>
      </c>
      <c r="G108" s="122">
        <v>2</v>
      </c>
      <c r="H108" s="123">
        <f t="shared" si="5"/>
        <v>5</v>
      </c>
      <c r="I108" s="124" t="s">
        <v>795</v>
      </c>
      <c r="J108" s="125">
        <v>3</v>
      </c>
      <c r="K108" s="122">
        <v>2</v>
      </c>
      <c r="L108" s="111">
        <f t="shared" si="3"/>
        <v>4</v>
      </c>
      <c r="M108" s="124" t="s">
        <v>796</v>
      </c>
      <c r="N108" s="111">
        <v>5</v>
      </c>
      <c r="O108" s="111" t="s">
        <v>608</v>
      </c>
      <c r="P108" s="136"/>
      <c r="Q108" s="128"/>
      <c r="R108" s="128"/>
      <c r="S108" s="128"/>
      <c r="T108" s="128"/>
      <c r="U108" s="128"/>
      <c r="V108" s="128"/>
      <c r="W108" s="128"/>
      <c r="X108" s="128"/>
    </row>
    <row r="109" spans="1:24" ht="48">
      <c r="A109" s="118" t="s">
        <v>435</v>
      </c>
      <c r="B109" s="119" t="s">
        <v>797</v>
      </c>
      <c r="C109" s="119" t="s">
        <v>798</v>
      </c>
      <c r="D109" s="118"/>
      <c r="E109" s="120" t="s">
        <v>799</v>
      </c>
      <c r="F109" s="121">
        <v>4</v>
      </c>
      <c r="G109" s="122">
        <v>2</v>
      </c>
      <c r="H109" s="123">
        <f t="shared" si="5"/>
        <v>5</v>
      </c>
      <c r="I109" s="124" t="s">
        <v>800</v>
      </c>
      <c r="J109" s="125">
        <v>3</v>
      </c>
      <c r="K109" s="122">
        <v>2</v>
      </c>
      <c r="L109" s="111">
        <f t="shared" si="3"/>
        <v>4</v>
      </c>
      <c r="M109" s="124" t="s">
        <v>801</v>
      </c>
      <c r="N109" s="111">
        <v>5</v>
      </c>
      <c r="O109" s="111" t="s">
        <v>608</v>
      </c>
      <c r="P109" s="136"/>
      <c r="Q109" s="128"/>
      <c r="R109" s="128"/>
      <c r="S109" s="128"/>
      <c r="T109" s="128"/>
      <c r="U109" s="128"/>
      <c r="V109" s="128"/>
      <c r="W109" s="128"/>
      <c r="X109" s="128"/>
    </row>
    <row r="110" spans="1:24" ht="24">
      <c r="A110" s="118" t="s">
        <v>435</v>
      </c>
      <c r="B110" s="119" t="s">
        <v>802</v>
      </c>
      <c r="C110" s="119" t="s">
        <v>803</v>
      </c>
      <c r="D110" s="134"/>
      <c r="E110" s="120" t="s">
        <v>804</v>
      </c>
      <c r="F110" s="121">
        <v>4</v>
      </c>
      <c r="G110" s="122">
        <v>2</v>
      </c>
      <c r="H110" s="123">
        <f t="shared" si="5"/>
        <v>5</v>
      </c>
      <c r="I110" s="124" t="s">
        <v>488</v>
      </c>
      <c r="J110" s="125">
        <v>3</v>
      </c>
      <c r="K110" s="122">
        <v>1</v>
      </c>
      <c r="L110" s="111">
        <f t="shared" si="3"/>
        <v>3</v>
      </c>
      <c r="M110" s="124" t="s">
        <v>774</v>
      </c>
      <c r="N110" s="111">
        <v>5</v>
      </c>
      <c r="O110" s="111" t="s">
        <v>608</v>
      </c>
      <c r="P110" s="136"/>
      <c r="Q110" s="128"/>
      <c r="R110" s="128"/>
      <c r="S110" s="128"/>
      <c r="T110" s="128"/>
      <c r="U110" s="128"/>
      <c r="V110" s="128"/>
      <c r="W110" s="128"/>
      <c r="X110" s="128"/>
    </row>
    <row r="111" spans="1:24" ht="72">
      <c r="A111" s="118" t="s">
        <v>591</v>
      </c>
      <c r="B111" s="119" t="s">
        <v>805</v>
      </c>
      <c r="C111" s="119" t="s">
        <v>806</v>
      </c>
      <c r="D111" s="118"/>
      <c r="E111" s="129"/>
      <c r="F111" s="121">
        <v>4</v>
      </c>
      <c r="G111" s="122">
        <v>2</v>
      </c>
      <c r="H111" s="123">
        <f t="shared" si="5"/>
        <v>5</v>
      </c>
      <c r="I111" s="124" t="s">
        <v>807</v>
      </c>
      <c r="J111" s="125">
        <v>3</v>
      </c>
      <c r="K111" s="122">
        <v>2</v>
      </c>
      <c r="L111" s="111">
        <f t="shared" si="3"/>
        <v>4</v>
      </c>
      <c r="M111" s="124" t="s">
        <v>808</v>
      </c>
      <c r="N111" s="111">
        <v>5</v>
      </c>
      <c r="O111" s="111" t="s">
        <v>608</v>
      </c>
      <c r="P111" s="136"/>
      <c r="Q111" s="128"/>
      <c r="R111" s="128"/>
      <c r="S111" s="128"/>
      <c r="T111" s="128"/>
      <c r="U111" s="128"/>
      <c r="V111" s="128"/>
      <c r="W111" s="128"/>
      <c r="X111" s="128"/>
    </row>
    <row r="112" spans="1:24" ht="48">
      <c r="A112" s="118" t="s">
        <v>591</v>
      </c>
      <c r="B112" s="119" t="s">
        <v>809</v>
      </c>
      <c r="C112" s="119" t="s">
        <v>810</v>
      </c>
      <c r="D112" s="118"/>
      <c r="E112" s="129"/>
      <c r="F112" s="121">
        <v>4</v>
      </c>
      <c r="G112" s="122">
        <v>2</v>
      </c>
      <c r="H112" s="123">
        <f t="shared" si="5"/>
        <v>5</v>
      </c>
      <c r="I112" s="124" t="s">
        <v>811</v>
      </c>
      <c r="J112" s="125">
        <v>2</v>
      </c>
      <c r="K112" s="122">
        <v>3</v>
      </c>
      <c r="L112" s="111">
        <f t="shared" si="3"/>
        <v>4</v>
      </c>
      <c r="M112" s="124" t="s">
        <v>778</v>
      </c>
      <c r="N112" s="111">
        <v>5</v>
      </c>
      <c r="O112" s="111" t="s">
        <v>608</v>
      </c>
      <c r="P112" s="136"/>
      <c r="Q112" s="128"/>
      <c r="R112" s="128"/>
      <c r="S112" s="128"/>
      <c r="T112" s="128"/>
      <c r="U112" s="128"/>
      <c r="V112" s="128"/>
      <c r="W112" s="128"/>
      <c r="X112" s="128"/>
    </row>
    <row r="113" spans="1:24" ht="96">
      <c r="A113" s="118" t="s">
        <v>591</v>
      </c>
      <c r="B113" s="119" t="s">
        <v>812</v>
      </c>
      <c r="C113" s="119" t="s">
        <v>813</v>
      </c>
      <c r="D113" s="118"/>
      <c r="E113" s="129"/>
      <c r="F113" s="121">
        <v>4</v>
      </c>
      <c r="G113" s="122">
        <v>2</v>
      </c>
      <c r="H113" s="123">
        <f t="shared" si="5"/>
        <v>5</v>
      </c>
      <c r="I113" s="124" t="s">
        <v>811</v>
      </c>
      <c r="J113" s="125">
        <v>2</v>
      </c>
      <c r="K113" s="122">
        <v>3</v>
      </c>
      <c r="L113" s="111">
        <f t="shared" si="3"/>
        <v>4</v>
      </c>
      <c r="M113" s="124" t="s">
        <v>778</v>
      </c>
      <c r="N113" s="111">
        <v>5</v>
      </c>
      <c r="O113" s="111" t="s">
        <v>608</v>
      </c>
      <c r="P113" s="136"/>
      <c r="Q113" s="128"/>
      <c r="R113" s="128"/>
      <c r="S113" s="128"/>
      <c r="T113" s="128"/>
      <c r="U113" s="128"/>
      <c r="V113" s="128"/>
      <c r="W113" s="128"/>
      <c r="X113" s="128"/>
    </row>
    <row r="114" spans="1:24" ht="24">
      <c r="A114" s="118" t="s">
        <v>450</v>
      </c>
      <c r="B114" s="119" t="s">
        <v>814</v>
      </c>
      <c r="C114" s="119" t="s">
        <v>815</v>
      </c>
      <c r="D114" s="118"/>
      <c r="E114" s="129"/>
      <c r="F114" s="121">
        <v>4</v>
      </c>
      <c r="G114" s="122">
        <v>2</v>
      </c>
      <c r="H114" s="123">
        <f t="shared" si="5"/>
        <v>5</v>
      </c>
      <c r="I114" s="124" t="s">
        <v>816</v>
      </c>
      <c r="J114" s="137" t="s">
        <v>441</v>
      </c>
      <c r="K114" s="138" t="s">
        <v>441</v>
      </c>
      <c r="L114" s="139" t="s">
        <v>441</v>
      </c>
      <c r="M114" s="124" t="s">
        <v>515</v>
      </c>
      <c r="N114" s="111">
        <v>5</v>
      </c>
      <c r="O114" s="111" t="s">
        <v>608</v>
      </c>
      <c r="P114" s="136"/>
      <c r="Q114" s="128"/>
      <c r="R114" s="128"/>
      <c r="S114" s="128"/>
      <c r="T114" s="128"/>
      <c r="U114" s="128"/>
      <c r="V114" s="128"/>
      <c r="W114" s="128"/>
      <c r="X114" s="128"/>
    </row>
    <row r="115" spans="1:24" ht="24">
      <c r="A115" s="118" t="s">
        <v>450</v>
      </c>
      <c r="B115" s="119" t="s">
        <v>817</v>
      </c>
      <c r="C115" s="119" t="s">
        <v>818</v>
      </c>
      <c r="D115" s="118"/>
      <c r="E115" s="129"/>
      <c r="F115" s="121">
        <v>4</v>
      </c>
      <c r="G115" s="122">
        <v>2</v>
      </c>
      <c r="H115" s="123">
        <f t="shared" si="5"/>
        <v>5</v>
      </c>
      <c r="I115" s="124" t="s">
        <v>819</v>
      </c>
      <c r="J115" s="137" t="s">
        <v>441</v>
      </c>
      <c r="K115" s="138" t="s">
        <v>441</v>
      </c>
      <c r="L115" s="139" t="s">
        <v>441</v>
      </c>
      <c r="M115" s="124" t="s">
        <v>515</v>
      </c>
      <c r="N115" s="111">
        <v>5</v>
      </c>
      <c r="O115" s="111" t="s">
        <v>608</v>
      </c>
      <c r="P115" s="136"/>
      <c r="Q115" s="128"/>
      <c r="R115" s="128"/>
      <c r="S115" s="128"/>
      <c r="T115" s="128"/>
      <c r="U115" s="128"/>
      <c r="V115" s="128"/>
      <c r="W115" s="128"/>
      <c r="X115" s="128"/>
    </row>
    <row r="116" spans="1:24" ht="60">
      <c r="A116" s="118" t="s">
        <v>450</v>
      </c>
      <c r="B116" s="119" t="s">
        <v>820</v>
      </c>
      <c r="C116" s="119" t="s">
        <v>821</v>
      </c>
      <c r="D116" s="118"/>
      <c r="E116" s="129"/>
      <c r="F116" s="121">
        <v>4</v>
      </c>
      <c r="G116" s="122">
        <v>2</v>
      </c>
      <c r="H116" s="123">
        <f t="shared" si="5"/>
        <v>5</v>
      </c>
      <c r="I116" s="124" t="s">
        <v>822</v>
      </c>
      <c r="J116" s="137" t="s">
        <v>441</v>
      </c>
      <c r="K116" s="138" t="s">
        <v>441</v>
      </c>
      <c r="L116" s="139" t="s">
        <v>441</v>
      </c>
      <c r="M116" s="124" t="s">
        <v>515</v>
      </c>
      <c r="N116" s="111">
        <v>5</v>
      </c>
      <c r="O116" s="111" t="s">
        <v>608</v>
      </c>
      <c r="P116" s="136"/>
      <c r="Q116" s="128"/>
      <c r="R116" s="128"/>
      <c r="S116" s="128"/>
      <c r="T116" s="128"/>
      <c r="U116" s="128"/>
      <c r="V116" s="128"/>
      <c r="W116" s="128"/>
      <c r="X116" s="128"/>
    </row>
    <row r="117" spans="1:24" ht="48">
      <c r="A117" s="118" t="s">
        <v>450</v>
      </c>
      <c r="B117" s="119" t="s">
        <v>823</v>
      </c>
      <c r="C117" s="119" t="s">
        <v>824</v>
      </c>
      <c r="D117" s="118"/>
      <c r="E117" s="129"/>
      <c r="F117" s="121">
        <v>4</v>
      </c>
      <c r="G117" s="122">
        <v>2</v>
      </c>
      <c r="H117" s="123">
        <f t="shared" si="5"/>
        <v>5</v>
      </c>
      <c r="I117" s="124" t="s">
        <v>825</v>
      </c>
      <c r="J117" s="137" t="s">
        <v>441</v>
      </c>
      <c r="K117" s="138" t="s">
        <v>441</v>
      </c>
      <c r="L117" s="139" t="s">
        <v>441</v>
      </c>
      <c r="M117" s="124" t="s">
        <v>515</v>
      </c>
      <c r="N117" s="111">
        <v>5</v>
      </c>
      <c r="O117" s="111" t="s">
        <v>608</v>
      </c>
      <c r="P117" s="136"/>
      <c r="Q117" s="128"/>
      <c r="R117" s="128"/>
      <c r="S117" s="128"/>
      <c r="T117" s="128"/>
      <c r="U117" s="128"/>
      <c r="V117" s="128"/>
      <c r="W117" s="128"/>
      <c r="X117" s="128"/>
    </row>
    <row r="118" spans="1:24" ht="48">
      <c r="A118" s="118" t="s">
        <v>435</v>
      </c>
      <c r="B118" s="119" t="s">
        <v>826</v>
      </c>
      <c r="C118" s="119" t="s">
        <v>827</v>
      </c>
      <c r="D118" s="134"/>
      <c r="E118" s="129"/>
      <c r="F118" s="121">
        <v>4</v>
      </c>
      <c r="G118" s="122">
        <v>2</v>
      </c>
      <c r="H118" s="123">
        <f t="shared" si="5"/>
        <v>5</v>
      </c>
      <c r="I118" s="124" t="s">
        <v>828</v>
      </c>
      <c r="J118" s="137" t="s">
        <v>441</v>
      </c>
      <c r="K118" s="138" t="s">
        <v>441</v>
      </c>
      <c r="L118" s="139" t="s">
        <v>441</v>
      </c>
      <c r="M118" s="124" t="s">
        <v>515</v>
      </c>
      <c r="N118" s="111">
        <v>5</v>
      </c>
      <c r="O118" s="111" t="s">
        <v>608</v>
      </c>
      <c r="P118" s="136"/>
      <c r="Q118" s="128"/>
      <c r="R118" s="128"/>
      <c r="S118" s="128"/>
      <c r="T118" s="128"/>
      <c r="U118" s="128"/>
      <c r="V118" s="128"/>
      <c r="W118" s="128"/>
      <c r="X118" s="128"/>
    </row>
    <row r="119" spans="1:24" ht="36">
      <c r="A119" s="118" t="s">
        <v>435</v>
      </c>
      <c r="B119" s="119" t="s">
        <v>829</v>
      </c>
      <c r="C119" s="119" t="s">
        <v>830</v>
      </c>
      <c r="D119" s="134"/>
      <c r="E119" s="120" t="s">
        <v>831</v>
      </c>
      <c r="F119" s="121">
        <v>4</v>
      </c>
      <c r="G119" s="122">
        <v>2</v>
      </c>
      <c r="H119" s="123">
        <f t="shared" si="5"/>
        <v>5</v>
      </c>
      <c r="I119" s="124" t="s">
        <v>795</v>
      </c>
      <c r="J119" s="137" t="s">
        <v>441</v>
      </c>
      <c r="K119" s="138" t="s">
        <v>441</v>
      </c>
      <c r="L119" s="139" t="s">
        <v>441</v>
      </c>
      <c r="M119" s="124" t="s">
        <v>515</v>
      </c>
      <c r="N119" s="111">
        <v>5</v>
      </c>
      <c r="O119" s="111" t="s">
        <v>608</v>
      </c>
      <c r="P119" s="136"/>
      <c r="Q119" s="128"/>
      <c r="R119" s="128"/>
      <c r="S119" s="128"/>
      <c r="T119" s="128"/>
      <c r="U119" s="128"/>
      <c r="V119" s="128"/>
      <c r="W119" s="128"/>
      <c r="X119" s="128"/>
    </row>
    <row r="120" spans="1:24" ht="24">
      <c r="A120" s="118" t="s">
        <v>435</v>
      </c>
      <c r="B120" s="119" t="s">
        <v>832</v>
      </c>
      <c r="C120" s="119" t="s">
        <v>833</v>
      </c>
      <c r="D120" s="134"/>
      <c r="E120" s="120" t="s">
        <v>834</v>
      </c>
      <c r="F120" s="121">
        <v>4</v>
      </c>
      <c r="G120" s="122">
        <v>2</v>
      </c>
      <c r="H120" s="123">
        <f t="shared" si="5"/>
        <v>5</v>
      </c>
      <c r="I120" s="124" t="s">
        <v>488</v>
      </c>
      <c r="J120" s="137" t="s">
        <v>441</v>
      </c>
      <c r="K120" s="138" t="s">
        <v>441</v>
      </c>
      <c r="L120" s="139" t="s">
        <v>441</v>
      </c>
      <c r="M120" s="124" t="s">
        <v>515</v>
      </c>
      <c r="N120" s="111">
        <v>5</v>
      </c>
      <c r="O120" s="111" t="s">
        <v>608</v>
      </c>
      <c r="P120" s="136"/>
      <c r="Q120" s="128"/>
      <c r="R120" s="128"/>
      <c r="S120" s="128"/>
      <c r="T120" s="128"/>
      <c r="U120" s="128"/>
      <c r="V120" s="128"/>
      <c r="W120" s="128"/>
      <c r="X120" s="128"/>
    </row>
    <row r="121" spans="1:24" ht="48">
      <c r="A121" s="118" t="s">
        <v>435</v>
      </c>
      <c r="B121" s="119" t="s">
        <v>835</v>
      </c>
      <c r="C121" s="119" t="s">
        <v>836</v>
      </c>
      <c r="D121" s="118"/>
      <c r="E121" s="120" t="s">
        <v>837</v>
      </c>
      <c r="F121" s="121">
        <v>4</v>
      </c>
      <c r="G121" s="122">
        <v>2</v>
      </c>
      <c r="H121" s="123">
        <f t="shared" si="5"/>
        <v>5</v>
      </c>
      <c r="I121" s="124" t="s">
        <v>488</v>
      </c>
      <c r="J121" s="137" t="s">
        <v>441</v>
      </c>
      <c r="K121" s="138" t="s">
        <v>441</v>
      </c>
      <c r="L121" s="139" t="s">
        <v>441</v>
      </c>
      <c r="M121" s="124" t="s">
        <v>515</v>
      </c>
      <c r="N121" s="111">
        <v>5</v>
      </c>
      <c r="O121" s="111" t="s">
        <v>608</v>
      </c>
      <c r="P121" s="136"/>
      <c r="Q121" s="128"/>
      <c r="R121" s="128"/>
      <c r="S121" s="128"/>
      <c r="T121" s="128"/>
      <c r="U121" s="128"/>
      <c r="V121" s="128"/>
      <c r="W121" s="128"/>
      <c r="X121" s="128"/>
    </row>
    <row r="122" spans="1:24" ht="48">
      <c r="A122" s="118" t="s">
        <v>435</v>
      </c>
      <c r="B122" s="119" t="s">
        <v>838</v>
      </c>
      <c r="C122" s="119" t="s">
        <v>839</v>
      </c>
      <c r="D122" s="118"/>
      <c r="E122" s="129"/>
      <c r="F122" s="121">
        <v>4</v>
      </c>
      <c r="G122" s="122">
        <v>2</v>
      </c>
      <c r="H122" s="123">
        <f t="shared" si="5"/>
        <v>5</v>
      </c>
      <c r="I122" s="124" t="s">
        <v>840</v>
      </c>
      <c r="J122" s="137" t="s">
        <v>441</v>
      </c>
      <c r="K122" s="138" t="s">
        <v>441</v>
      </c>
      <c r="L122" s="143" t="s">
        <v>441</v>
      </c>
      <c r="M122" s="144"/>
      <c r="N122" s="111">
        <v>5</v>
      </c>
      <c r="O122" s="111" t="s">
        <v>608</v>
      </c>
      <c r="P122" s="136"/>
      <c r="Q122" s="128"/>
      <c r="R122" s="128"/>
      <c r="S122" s="128"/>
      <c r="T122" s="128"/>
      <c r="U122" s="128"/>
      <c r="V122" s="128"/>
      <c r="W122" s="128"/>
      <c r="X122" s="128"/>
    </row>
    <row r="123" spans="1:24" ht="48">
      <c r="A123" s="118" t="s">
        <v>435</v>
      </c>
      <c r="B123" s="119" t="s">
        <v>841</v>
      </c>
      <c r="C123" s="119" t="s">
        <v>842</v>
      </c>
      <c r="D123" s="134"/>
      <c r="E123" s="129"/>
      <c r="F123" s="121">
        <v>4</v>
      </c>
      <c r="G123" s="122">
        <v>2</v>
      </c>
      <c r="H123" s="123">
        <f t="shared" si="5"/>
        <v>5</v>
      </c>
      <c r="I123" s="124" t="s">
        <v>843</v>
      </c>
      <c r="J123" s="125">
        <v>3</v>
      </c>
      <c r="K123" s="122">
        <v>2</v>
      </c>
      <c r="L123" s="111">
        <f>(J123+K123)-1</f>
        <v>4</v>
      </c>
      <c r="M123" s="124" t="s">
        <v>844</v>
      </c>
      <c r="N123" s="111">
        <v>5</v>
      </c>
      <c r="O123" s="111" t="s">
        <v>608</v>
      </c>
      <c r="P123" s="136"/>
      <c r="Q123" s="128"/>
      <c r="R123" s="128"/>
      <c r="S123" s="128"/>
      <c r="T123" s="128"/>
      <c r="U123" s="128"/>
      <c r="V123" s="128"/>
      <c r="W123" s="128"/>
      <c r="X123" s="128"/>
    </row>
    <row r="124" spans="1:24" ht="48">
      <c r="A124" s="118" t="s">
        <v>435</v>
      </c>
      <c r="B124" s="119" t="s">
        <v>845</v>
      </c>
      <c r="C124" s="119" t="s">
        <v>846</v>
      </c>
      <c r="D124" s="118"/>
      <c r="E124" s="120" t="s">
        <v>564</v>
      </c>
      <c r="F124" s="121">
        <v>4</v>
      </c>
      <c r="G124" s="122">
        <v>2</v>
      </c>
      <c r="H124" s="123">
        <f t="shared" si="5"/>
        <v>5</v>
      </c>
      <c r="I124" s="124" t="s">
        <v>565</v>
      </c>
      <c r="J124" s="125">
        <v>2</v>
      </c>
      <c r="K124" s="122">
        <v>2</v>
      </c>
      <c r="L124" s="111">
        <f>(J124+K124)-1</f>
        <v>3</v>
      </c>
      <c r="M124" s="124" t="s">
        <v>566</v>
      </c>
      <c r="N124" s="111">
        <v>5</v>
      </c>
      <c r="O124" s="111" t="s">
        <v>608</v>
      </c>
      <c r="P124" s="136"/>
      <c r="Q124" s="128"/>
      <c r="R124" s="128"/>
      <c r="S124" s="128"/>
      <c r="T124" s="128"/>
      <c r="U124" s="128"/>
      <c r="V124" s="128"/>
      <c r="W124" s="128"/>
      <c r="X124" s="128"/>
    </row>
    <row r="125" spans="1:24" ht="60">
      <c r="A125" s="118" t="s">
        <v>450</v>
      </c>
      <c r="B125" s="119" t="s">
        <v>847</v>
      </c>
      <c r="C125" s="119" t="s">
        <v>848</v>
      </c>
      <c r="D125" s="118"/>
      <c r="E125" s="129"/>
      <c r="F125" s="121">
        <v>4</v>
      </c>
      <c r="G125" s="122">
        <v>2</v>
      </c>
      <c r="H125" s="123">
        <f t="shared" si="5"/>
        <v>5</v>
      </c>
      <c r="I125" s="124" t="s">
        <v>849</v>
      </c>
      <c r="J125" s="137" t="s">
        <v>441</v>
      </c>
      <c r="K125" s="138" t="s">
        <v>441</v>
      </c>
      <c r="L125" s="143" t="s">
        <v>441</v>
      </c>
      <c r="M125" s="124" t="s">
        <v>515</v>
      </c>
      <c r="N125" s="111">
        <v>5</v>
      </c>
      <c r="O125" s="111" t="s">
        <v>608</v>
      </c>
      <c r="P125" s="145"/>
      <c r="Q125" s="128"/>
      <c r="R125" s="128"/>
      <c r="S125" s="128"/>
      <c r="T125" s="128"/>
      <c r="U125" s="128"/>
      <c r="V125" s="128"/>
      <c r="W125" s="128"/>
      <c r="X125" s="128"/>
    </row>
    <row r="126" spans="1:24" ht="36">
      <c r="A126" s="118" t="s">
        <v>450</v>
      </c>
      <c r="B126" s="119" t="s">
        <v>850</v>
      </c>
      <c r="C126" s="119" t="s">
        <v>851</v>
      </c>
      <c r="D126" s="118"/>
      <c r="E126" s="129"/>
      <c r="F126" s="121">
        <v>4</v>
      </c>
      <c r="G126" s="122">
        <v>2</v>
      </c>
      <c r="H126" s="123">
        <f t="shared" si="5"/>
        <v>5</v>
      </c>
      <c r="I126" s="124" t="s">
        <v>852</v>
      </c>
      <c r="J126" s="137" t="s">
        <v>441</v>
      </c>
      <c r="K126" s="138" t="s">
        <v>441</v>
      </c>
      <c r="L126" s="143" t="s">
        <v>441</v>
      </c>
      <c r="M126" s="124" t="s">
        <v>515</v>
      </c>
      <c r="N126" s="111">
        <v>5</v>
      </c>
      <c r="O126" s="111" t="s">
        <v>608</v>
      </c>
      <c r="P126" s="136"/>
      <c r="Q126" s="128"/>
      <c r="R126" s="128"/>
      <c r="S126" s="128"/>
      <c r="T126" s="128"/>
      <c r="U126" s="128"/>
      <c r="V126" s="128"/>
      <c r="W126" s="128"/>
      <c r="X126" s="128"/>
    </row>
    <row r="127" spans="1:24" ht="60">
      <c r="A127" s="118" t="s">
        <v>435</v>
      </c>
      <c r="B127" s="119" t="s">
        <v>853</v>
      </c>
      <c r="C127" s="119" t="s">
        <v>854</v>
      </c>
      <c r="D127" s="118"/>
      <c r="E127" s="129"/>
      <c r="F127" s="121">
        <v>4</v>
      </c>
      <c r="G127" s="122">
        <v>2</v>
      </c>
      <c r="H127" s="123">
        <f t="shared" si="5"/>
        <v>5</v>
      </c>
      <c r="I127" s="124" t="s">
        <v>855</v>
      </c>
      <c r="J127" s="125">
        <v>2</v>
      </c>
      <c r="K127" s="122">
        <v>2</v>
      </c>
      <c r="L127" s="111">
        <f t="shared" ref="L127:L171" si="6">(J127+K127)-1</f>
        <v>3</v>
      </c>
      <c r="M127" s="124" t="s">
        <v>856</v>
      </c>
      <c r="N127" s="111">
        <v>5</v>
      </c>
      <c r="O127" s="111" t="s">
        <v>608</v>
      </c>
      <c r="P127" s="136"/>
      <c r="Q127" s="128"/>
      <c r="R127" s="128"/>
      <c r="S127" s="128"/>
      <c r="T127" s="128"/>
      <c r="U127" s="128"/>
      <c r="V127" s="128"/>
      <c r="W127" s="128"/>
      <c r="X127" s="128"/>
    </row>
    <row r="128" spans="1:24" ht="60">
      <c r="A128" s="118" t="s">
        <v>450</v>
      </c>
      <c r="B128" s="119" t="s">
        <v>857</v>
      </c>
      <c r="C128" s="119" t="s">
        <v>858</v>
      </c>
      <c r="D128" s="118"/>
      <c r="E128" s="129"/>
      <c r="F128" s="121">
        <v>3</v>
      </c>
      <c r="G128" s="122">
        <v>2</v>
      </c>
      <c r="H128" s="123">
        <f t="shared" si="5"/>
        <v>4</v>
      </c>
      <c r="I128" s="124" t="s">
        <v>859</v>
      </c>
      <c r="J128" s="125">
        <v>3</v>
      </c>
      <c r="K128" s="122">
        <v>3</v>
      </c>
      <c r="L128" s="111">
        <f t="shared" si="6"/>
        <v>5</v>
      </c>
      <c r="M128" s="124" t="s">
        <v>860</v>
      </c>
      <c r="N128" s="111">
        <v>5</v>
      </c>
      <c r="O128" s="111" t="s">
        <v>608</v>
      </c>
      <c r="P128" s="136"/>
      <c r="Q128" s="128"/>
      <c r="R128" s="128"/>
      <c r="S128" s="128"/>
      <c r="T128" s="128"/>
      <c r="U128" s="128"/>
      <c r="V128" s="128"/>
      <c r="W128" s="128"/>
      <c r="X128" s="128"/>
    </row>
    <row r="129" spans="1:24" ht="60">
      <c r="A129" s="118" t="s">
        <v>435</v>
      </c>
      <c r="B129" s="119" t="s">
        <v>861</v>
      </c>
      <c r="C129" s="119" t="s">
        <v>862</v>
      </c>
      <c r="D129" s="118"/>
      <c r="E129" s="120" t="s">
        <v>863</v>
      </c>
      <c r="F129" s="121">
        <v>2</v>
      </c>
      <c r="G129" s="122">
        <v>2</v>
      </c>
      <c r="H129" s="123">
        <f t="shared" si="5"/>
        <v>3</v>
      </c>
      <c r="I129" s="124" t="s">
        <v>864</v>
      </c>
      <c r="J129" s="125">
        <v>3</v>
      </c>
      <c r="K129" s="122">
        <v>3</v>
      </c>
      <c r="L129" s="111">
        <f t="shared" si="6"/>
        <v>5</v>
      </c>
      <c r="M129" s="124" t="s">
        <v>865</v>
      </c>
      <c r="N129" s="111">
        <v>5</v>
      </c>
      <c r="O129" s="111" t="s">
        <v>608</v>
      </c>
      <c r="P129" s="136"/>
      <c r="Q129" s="128"/>
      <c r="R129" s="128"/>
      <c r="S129" s="128"/>
      <c r="T129" s="128"/>
      <c r="U129" s="128"/>
      <c r="V129" s="128"/>
      <c r="W129" s="128"/>
      <c r="X129" s="128"/>
    </row>
    <row r="130" spans="1:24" ht="24">
      <c r="A130" s="118" t="s">
        <v>435</v>
      </c>
      <c r="B130" s="119" t="s">
        <v>866</v>
      </c>
      <c r="C130" s="119" t="s">
        <v>867</v>
      </c>
      <c r="D130" s="134"/>
      <c r="E130" s="120" t="s">
        <v>487</v>
      </c>
      <c r="F130" s="121">
        <v>2</v>
      </c>
      <c r="G130" s="122">
        <v>2</v>
      </c>
      <c r="H130" s="123">
        <f t="shared" si="5"/>
        <v>3</v>
      </c>
      <c r="I130" s="124" t="s">
        <v>500</v>
      </c>
      <c r="J130" s="125">
        <v>3</v>
      </c>
      <c r="K130" s="122">
        <v>3</v>
      </c>
      <c r="L130" s="111">
        <f t="shared" si="6"/>
        <v>5</v>
      </c>
      <c r="M130" s="124" t="s">
        <v>868</v>
      </c>
      <c r="N130" s="111">
        <v>5</v>
      </c>
      <c r="O130" s="111" t="s">
        <v>608</v>
      </c>
      <c r="P130" s="136"/>
      <c r="Q130" s="128"/>
      <c r="R130" s="128"/>
      <c r="S130" s="128"/>
      <c r="T130" s="128"/>
      <c r="U130" s="128"/>
      <c r="V130" s="128"/>
      <c r="W130" s="128"/>
      <c r="X130" s="128"/>
    </row>
    <row r="131" spans="1:24" ht="36">
      <c r="A131" s="118" t="s">
        <v>435</v>
      </c>
      <c r="B131" s="119" t="s">
        <v>869</v>
      </c>
      <c r="C131" s="119" t="s">
        <v>870</v>
      </c>
      <c r="D131" s="134"/>
      <c r="E131" s="129"/>
      <c r="F131" s="121">
        <v>2</v>
      </c>
      <c r="G131" s="122">
        <v>2</v>
      </c>
      <c r="H131" s="123">
        <f t="shared" si="5"/>
        <v>3</v>
      </c>
      <c r="I131" s="124" t="s">
        <v>448</v>
      </c>
      <c r="J131" s="125">
        <v>3</v>
      </c>
      <c r="K131" s="122">
        <v>3</v>
      </c>
      <c r="L131" s="111">
        <f t="shared" si="6"/>
        <v>5</v>
      </c>
      <c r="M131" s="124" t="s">
        <v>871</v>
      </c>
      <c r="N131" s="111">
        <v>5</v>
      </c>
      <c r="O131" s="111" t="s">
        <v>608</v>
      </c>
      <c r="P131" s="136"/>
      <c r="Q131" s="128"/>
      <c r="R131" s="128"/>
      <c r="S131" s="128"/>
      <c r="T131" s="128"/>
      <c r="U131" s="128"/>
      <c r="V131" s="128"/>
      <c r="W131" s="128"/>
      <c r="X131" s="128"/>
    </row>
    <row r="132" spans="1:24" ht="24">
      <c r="A132" s="118" t="s">
        <v>435</v>
      </c>
      <c r="B132" s="119" t="s">
        <v>872</v>
      </c>
      <c r="C132" s="119" t="s">
        <v>873</v>
      </c>
      <c r="D132" s="134"/>
      <c r="E132" s="120" t="s">
        <v>874</v>
      </c>
      <c r="F132" s="121">
        <v>2</v>
      </c>
      <c r="G132" s="122">
        <v>2</v>
      </c>
      <c r="H132" s="123">
        <f t="shared" si="5"/>
        <v>3</v>
      </c>
      <c r="I132" s="124" t="s">
        <v>482</v>
      </c>
      <c r="J132" s="125">
        <v>3</v>
      </c>
      <c r="K132" s="122">
        <v>3</v>
      </c>
      <c r="L132" s="111">
        <f t="shared" si="6"/>
        <v>5</v>
      </c>
      <c r="M132" s="124" t="s">
        <v>868</v>
      </c>
      <c r="N132" s="111">
        <v>5</v>
      </c>
      <c r="O132" s="111" t="s">
        <v>608</v>
      </c>
      <c r="P132" s="136"/>
      <c r="Q132" s="128"/>
      <c r="R132" s="128"/>
      <c r="S132" s="128"/>
      <c r="T132" s="128"/>
      <c r="U132" s="128"/>
      <c r="V132" s="128"/>
      <c r="W132" s="128"/>
      <c r="X132" s="128"/>
    </row>
    <row r="133" spans="1:24" ht="36">
      <c r="A133" s="118" t="s">
        <v>435</v>
      </c>
      <c r="B133" s="119" t="s">
        <v>875</v>
      </c>
      <c r="C133" s="119" t="s">
        <v>876</v>
      </c>
      <c r="D133" s="134"/>
      <c r="E133" s="120" t="s">
        <v>877</v>
      </c>
      <c r="F133" s="121">
        <v>2</v>
      </c>
      <c r="G133" s="122">
        <v>2</v>
      </c>
      <c r="H133" s="123">
        <f t="shared" si="5"/>
        <v>3</v>
      </c>
      <c r="I133" s="124" t="s">
        <v>733</v>
      </c>
      <c r="J133" s="125">
        <v>3</v>
      </c>
      <c r="K133" s="122">
        <v>3</v>
      </c>
      <c r="L133" s="111">
        <f t="shared" si="6"/>
        <v>5</v>
      </c>
      <c r="M133" s="124" t="s">
        <v>878</v>
      </c>
      <c r="N133" s="111">
        <v>5</v>
      </c>
      <c r="O133" s="111" t="s">
        <v>608</v>
      </c>
      <c r="P133" s="136"/>
      <c r="Q133" s="128"/>
      <c r="R133" s="128"/>
      <c r="S133" s="128"/>
      <c r="T133" s="128"/>
      <c r="U133" s="128"/>
      <c r="V133" s="128"/>
      <c r="W133" s="128"/>
      <c r="X133" s="128"/>
    </row>
    <row r="134" spans="1:24" ht="60">
      <c r="A134" s="118" t="s">
        <v>435</v>
      </c>
      <c r="B134" s="119" t="s">
        <v>879</v>
      </c>
      <c r="C134" s="119" t="s">
        <v>880</v>
      </c>
      <c r="D134" s="118"/>
      <c r="E134" s="129"/>
      <c r="F134" s="121">
        <v>3</v>
      </c>
      <c r="G134" s="122">
        <v>3</v>
      </c>
      <c r="H134" s="123">
        <f t="shared" si="5"/>
        <v>5</v>
      </c>
      <c r="I134" s="124" t="s">
        <v>881</v>
      </c>
      <c r="J134" s="125">
        <v>3</v>
      </c>
      <c r="K134" s="122">
        <v>3</v>
      </c>
      <c r="L134" s="111">
        <f t="shared" si="6"/>
        <v>5</v>
      </c>
      <c r="M134" s="124" t="s">
        <v>882</v>
      </c>
      <c r="N134" s="111">
        <v>5</v>
      </c>
      <c r="O134" s="111" t="s">
        <v>608</v>
      </c>
      <c r="P134" s="136"/>
      <c r="Q134" s="128"/>
      <c r="R134" s="128"/>
      <c r="S134" s="128"/>
      <c r="T134" s="128"/>
      <c r="U134" s="128"/>
      <c r="V134" s="128"/>
      <c r="W134" s="128"/>
      <c r="X134" s="128"/>
    </row>
    <row r="135" spans="1:24" ht="36">
      <c r="A135" s="118" t="s">
        <v>450</v>
      </c>
      <c r="B135" s="119" t="s">
        <v>883</v>
      </c>
      <c r="C135" s="119" t="s">
        <v>884</v>
      </c>
      <c r="D135" s="118"/>
      <c r="E135" s="129"/>
      <c r="F135" s="121">
        <v>2</v>
      </c>
      <c r="G135" s="122">
        <v>3</v>
      </c>
      <c r="H135" s="123">
        <f t="shared" si="5"/>
        <v>4</v>
      </c>
      <c r="I135" s="124" t="s">
        <v>885</v>
      </c>
      <c r="J135" s="125">
        <v>3</v>
      </c>
      <c r="K135" s="122">
        <v>3</v>
      </c>
      <c r="L135" s="111">
        <f t="shared" si="6"/>
        <v>5</v>
      </c>
      <c r="M135" s="124" t="s">
        <v>886</v>
      </c>
      <c r="N135" s="111">
        <v>5</v>
      </c>
      <c r="O135" s="111" t="s">
        <v>608</v>
      </c>
      <c r="P135" s="136"/>
      <c r="Q135" s="128"/>
      <c r="R135" s="128"/>
      <c r="S135" s="128"/>
      <c r="T135" s="128"/>
      <c r="U135" s="128"/>
      <c r="V135" s="128"/>
      <c r="W135" s="128"/>
      <c r="X135" s="128"/>
    </row>
    <row r="136" spans="1:24" ht="36">
      <c r="A136" s="118" t="s">
        <v>450</v>
      </c>
      <c r="B136" s="119" t="s">
        <v>887</v>
      </c>
      <c r="C136" s="119" t="s">
        <v>888</v>
      </c>
      <c r="D136" s="118"/>
      <c r="E136" s="129"/>
      <c r="F136" s="121">
        <v>2</v>
      </c>
      <c r="G136" s="122">
        <v>3</v>
      </c>
      <c r="H136" s="123">
        <f t="shared" si="5"/>
        <v>4</v>
      </c>
      <c r="I136" s="124" t="s">
        <v>889</v>
      </c>
      <c r="J136" s="125">
        <v>3</v>
      </c>
      <c r="K136" s="122">
        <v>3</v>
      </c>
      <c r="L136" s="111">
        <f t="shared" si="6"/>
        <v>5</v>
      </c>
      <c r="M136" s="124" t="s">
        <v>890</v>
      </c>
      <c r="N136" s="111">
        <v>5</v>
      </c>
      <c r="O136" s="111" t="s">
        <v>608</v>
      </c>
      <c r="P136" s="136"/>
      <c r="Q136" s="128"/>
      <c r="R136" s="128"/>
      <c r="S136" s="128"/>
      <c r="T136" s="128"/>
      <c r="U136" s="128"/>
      <c r="V136" s="128"/>
      <c r="W136" s="128"/>
      <c r="X136" s="128"/>
    </row>
    <row r="137" spans="1:24" ht="72">
      <c r="A137" s="118" t="s">
        <v>435</v>
      </c>
      <c r="B137" s="119" t="s">
        <v>891</v>
      </c>
      <c r="C137" s="119" t="s">
        <v>892</v>
      </c>
      <c r="D137" s="118"/>
      <c r="E137" s="120" t="s">
        <v>893</v>
      </c>
      <c r="F137" s="121">
        <v>3</v>
      </c>
      <c r="G137" s="122">
        <v>2</v>
      </c>
      <c r="H137" s="123">
        <f t="shared" si="5"/>
        <v>4</v>
      </c>
      <c r="I137" s="124" t="s">
        <v>894</v>
      </c>
      <c r="J137" s="125">
        <v>3</v>
      </c>
      <c r="K137" s="122">
        <v>3</v>
      </c>
      <c r="L137" s="111">
        <f t="shared" si="6"/>
        <v>5</v>
      </c>
      <c r="M137" s="124" t="s">
        <v>895</v>
      </c>
      <c r="N137" s="111">
        <v>5</v>
      </c>
      <c r="O137" s="111" t="s">
        <v>608</v>
      </c>
      <c r="P137" s="136"/>
      <c r="Q137" s="128"/>
      <c r="R137" s="128"/>
      <c r="S137" s="128"/>
      <c r="T137" s="128"/>
      <c r="U137" s="128"/>
      <c r="V137" s="128"/>
      <c r="W137" s="128"/>
      <c r="X137" s="128"/>
    </row>
    <row r="138" spans="1:24" ht="60">
      <c r="A138" s="118" t="s">
        <v>435</v>
      </c>
      <c r="B138" s="119" t="s">
        <v>896</v>
      </c>
      <c r="C138" s="119" t="s">
        <v>897</v>
      </c>
      <c r="D138" s="118"/>
      <c r="E138" s="129"/>
      <c r="F138" s="121">
        <v>3</v>
      </c>
      <c r="G138" s="122">
        <v>2</v>
      </c>
      <c r="H138" s="123">
        <f t="shared" si="5"/>
        <v>4</v>
      </c>
      <c r="I138" s="124" t="s">
        <v>898</v>
      </c>
      <c r="J138" s="125">
        <v>3</v>
      </c>
      <c r="K138" s="122">
        <v>3</v>
      </c>
      <c r="L138" s="111">
        <f t="shared" si="6"/>
        <v>5</v>
      </c>
      <c r="M138" s="124" t="s">
        <v>899</v>
      </c>
      <c r="N138" s="111">
        <v>5</v>
      </c>
      <c r="O138" s="111" t="s">
        <v>608</v>
      </c>
      <c r="P138" s="136"/>
      <c r="Q138" s="128"/>
      <c r="R138" s="128"/>
      <c r="S138" s="128"/>
      <c r="T138" s="128"/>
      <c r="U138" s="128"/>
      <c r="V138" s="128"/>
      <c r="W138" s="128"/>
      <c r="X138" s="128"/>
    </row>
    <row r="139" spans="1:24" ht="24">
      <c r="A139" s="118" t="s">
        <v>435</v>
      </c>
      <c r="B139" s="119" t="s">
        <v>900</v>
      </c>
      <c r="C139" s="119" t="s">
        <v>901</v>
      </c>
      <c r="D139" s="134"/>
      <c r="E139" s="120" t="s">
        <v>902</v>
      </c>
      <c r="F139" s="121">
        <v>2</v>
      </c>
      <c r="G139" s="122">
        <v>2</v>
      </c>
      <c r="H139" s="123">
        <f t="shared" si="5"/>
        <v>3</v>
      </c>
      <c r="I139" s="124" t="s">
        <v>733</v>
      </c>
      <c r="J139" s="125">
        <v>3</v>
      </c>
      <c r="K139" s="122">
        <v>3</v>
      </c>
      <c r="L139" s="111">
        <f t="shared" si="6"/>
        <v>5</v>
      </c>
      <c r="M139" s="124" t="s">
        <v>903</v>
      </c>
      <c r="N139" s="111">
        <v>5</v>
      </c>
      <c r="O139" s="111" t="s">
        <v>608</v>
      </c>
      <c r="P139" s="136"/>
      <c r="Q139" s="128"/>
      <c r="R139" s="128"/>
      <c r="S139" s="128"/>
      <c r="T139" s="128"/>
      <c r="U139" s="128"/>
      <c r="V139" s="128"/>
      <c r="W139" s="128"/>
      <c r="X139" s="128"/>
    </row>
    <row r="140" spans="1:24" ht="36">
      <c r="A140" s="118" t="s">
        <v>435</v>
      </c>
      <c r="B140" s="119" t="s">
        <v>904</v>
      </c>
      <c r="C140" s="119" t="s">
        <v>783</v>
      </c>
      <c r="D140" s="134"/>
      <c r="E140" s="120" t="s">
        <v>905</v>
      </c>
      <c r="F140" s="121">
        <v>2</v>
      </c>
      <c r="G140" s="122">
        <v>2</v>
      </c>
      <c r="H140" s="123">
        <f t="shared" si="5"/>
        <v>3</v>
      </c>
      <c r="I140" s="124" t="s">
        <v>906</v>
      </c>
      <c r="J140" s="125">
        <v>3</v>
      </c>
      <c r="K140" s="122">
        <v>3</v>
      </c>
      <c r="L140" s="111">
        <f t="shared" si="6"/>
        <v>5</v>
      </c>
      <c r="M140" s="124" t="s">
        <v>907</v>
      </c>
      <c r="N140" s="111">
        <v>5</v>
      </c>
      <c r="O140" s="111" t="s">
        <v>608</v>
      </c>
      <c r="P140" s="136"/>
      <c r="Q140" s="128"/>
      <c r="R140" s="128"/>
      <c r="S140" s="128"/>
      <c r="T140" s="128"/>
      <c r="U140" s="128"/>
      <c r="V140" s="128"/>
      <c r="W140" s="128"/>
      <c r="X140" s="128"/>
    </row>
    <row r="141" spans="1:24" ht="36">
      <c r="A141" s="118" t="s">
        <v>435</v>
      </c>
      <c r="B141" s="119" t="s">
        <v>908</v>
      </c>
      <c r="C141" s="119" t="s">
        <v>909</v>
      </c>
      <c r="D141" s="134"/>
      <c r="E141" s="129"/>
      <c r="F141" s="121">
        <v>4</v>
      </c>
      <c r="G141" s="122">
        <v>1</v>
      </c>
      <c r="H141" s="123">
        <f t="shared" si="5"/>
        <v>4</v>
      </c>
      <c r="I141" s="124" t="s">
        <v>910</v>
      </c>
      <c r="J141" s="125">
        <v>3</v>
      </c>
      <c r="K141" s="122">
        <v>3</v>
      </c>
      <c r="L141" s="111">
        <f t="shared" si="6"/>
        <v>5</v>
      </c>
      <c r="M141" s="124" t="s">
        <v>911</v>
      </c>
      <c r="N141" s="111">
        <v>5</v>
      </c>
      <c r="O141" s="111" t="s">
        <v>608</v>
      </c>
      <c r="P141" s="136"/>
      <c r="Q141" s="128"/>
      <c r="R141" s="128"/>
      <c r="S141" s="128"/>
      <c r="T141" s="128"/>
      <c r="U141" s="128"/>
      <c r="V141" s="128"/>
      <c r="W141" s="128"/>
      <c r="X141" s="128"/>
    </row>
    <row r="142" spans="1:24" ht="36">
      <c r="A142" s="118" t="s">
        <v>435</v>
      </c>
      <c r="B142" s="119" t="s">
        <v>912</v>
      </c>
      <c r="C142" s="119" t="s">
        <v>913</v>
      </c>
      <c r="D142" s="134"/>
      <c r="E142" s="129"/>
      <c r="F142" s="121">
        <v>2</v>
      </c>
      <c r="G142" s="122">
        <v>3</v>
      </c>
      <c r="H142" s="123">
        <f t="shared" si="5"/>
        <v>4</v>
      </c>
      <c r="I142" s="124" t="s">
        <v>482</v>
      </c>
      <c r="J142" s="125">
        <v>3</v>
      </c>
      <c r="K142" s="122">
        <v>3</v>
      </c>
      <c r="L142" s="111">
        <f t="shared" si="6"/>
        <v>5</v>
      </c>
      <c r="M142" s="124" t="s">
        <v>914</v>
      </c>
      <c r="N142" s="111">
        <v>5</v>
      </c>
      <c r="O142" s="111" t="s">
        <v>608</v>
      </c>
      <c r="P142" s="136"/>
      <c r="Q142" s="128"/>
      <c r="R142" s="128"/>
      <c r="S142" s="128"/>
      <c r="T142" s="128"/>
      <c r="U142" s="128"/>
      <c r="V142" s="128"/>
      <c r="W142" s="128"/>
      <c r="X142" s="128"/>
    </row>
    <row r="143" spans="1:24">
      <c r="A143" s="118" t="s">
        <v>435</v>
      </c>
      <c r="B143" s="119" t="s">
        <v>915</v>
      </c>
      <c r="C143" s="119" t="s">
        <v>916</v>
      </c>
      <c r="D143" s="134"/>
      <c r="E143" s="129"/>
      <c r="F143" s="121">
        <v>2</v>
      </c>
      <c r="G143" s="122">
        <v>2</v>
      </c>
      <c r="H143" s="123">
        <f t="shared" si="5"/>
        <v>3</v>
      </c>
      <c r="I143" s="124" t="s">
        <v>917</v>
      </c>
      <c r="J143" s="125">
        <v>3</v>
      </c>
      <c r="K143" s="122">
        <v>3</v>
      </c>
      <c r="L143" s="111">
        <f t="shared" si="6"/>
        <v>5</v>
      </c>
      <c r="M143" s="124" t="s">
        <v>868</v>
      </c>
      <c r="N143" s="111">
        <v>5</v>
      </c>
      <c r="O143" s="111" t="s">
        <v>608</v>
      </c>
      <c r="P143" s="136"/>
      <c r="Q143" s="128"/>
      <c r="R143" s="128"/>
      <c r="S143" s="128"/>
      <c r="T143" s="128"/>
      <c r="U143" s="128"/>
      <c r="V143" s="128"/>
      <c r="W143" s="128"/>
      <c r="X143" s="128"/>
    </row>
    <row r="144" spans="1:24" ht="24">
      <c r="A144" s="118" t="s">
        <v>435</v>
      </c>
      <c r="B144" s="119" t="s">
        <v>918</v>
      </c>
      <c r="C144" s="119" t="s">
        <v>919</v>
      </c>
      <c r="D144" s="118"/>
      <c r="E144" s="129"/>
      <c r="F144" s="121">
        <v>2</v>
      </c>
      <c r="G144" s="122">
        <v>3</v>
      </c>
      <c r="H144" s="123">
        <f t="shared" si="5"/>
        <v>4</v>
      </c>
      <c r="I144" s="124" t="s">
        <v>920</v>
      </c>
      <c r="J144" s="125">
        <v>3</v>
      </c>
      <c r="K144" s="122">
        <v>3</v>
      </c>
      <c r="L144" s="111">
        <f t="shared" si="6"/>
        <v>5</v>
      </c>
      <c r="M144" s="124" t="s">
        <v>921</v>
      </c>
      <c r="N144" s="111">
        <v>5</v>
      </c>
      <c r="O144" s="111" t="s">
        <v>608</v>
      </c>
      <c r="P144" s="136"/>
      <c r="Q144" s="128"/>
      <c r="R144" s="128"/>
      <c r="S144" s="128"/>
      <c r="T144" s="128"/>
      <c r="U144" s="128"/>
      <c r="V144" s="128"/>
      <c r="W144" s="128"/>
      <c r="X144" s="128"/>
    </row>
    <row r="145" spans="1:24" ht="60">
      <c r="A145" s="118" t="s">
        <v>435</v>
      </c>
      <c r="B145" s="119" t="s">
        <v>922</v>
      </c>
      <c r="C145" s="119" t="s">
        <v>923</v>
      </c>
      <c r="D145" s="118"/>
      <c r="E145" s="129"/>
      <c r="F145" s="121">
        <v>2</v>
      </c>
      <c r="G145" s="122">
        <v>3</v>
      </c>
      <c r="H145" s="123">
        <f t="shared" si="5"/>
        <v>4</v>
      </c>
      <c r="I145" s="124" t="s">
        <v>709</v>
      </c>
      <c r="J145" s="125">
        <v>3</v>
      </c>
      <c r="K145" s="122">
        <v>3</v>
      </c>
      <c r="L145" s="111">
        <f t="shared" si="6"/>
        <v>5</v>
      </c>
      <c r="M145" s="124" t="s">
        <v>924</v>
      </c>
      <c r="N145" s="111">
        <v>5</v>
      </c>
      <c r="O145" s="111" t="s">
        <v>608</v>
      </c>
      <c r="P145" s="136"/>
      <c r="Q145" s="128"/>
      <c r="R145" s="128"/>
      <c r="S145" s="128"/>
      <c r="T145" s="128"/>
      <c r="U145" s="128"/>
      <c r="V145" s="128"/>
      <c r="W145" s="128"/>
      <c r="X145" s="128"/>
    </row>
    <row r="146" spans="1:24" ht="36">
      <c r="A146" s="118" t="s">
        <v>435</v>
      </c>
      <c r="B146" s="119" t="s">
        <v>925</v>
      </c>
      <c r="C146" s="119" t="s">
        <v>926</v>
      </c>
      <c r="D146" s="134"/>
      <c r="E146" s="129"/>
      <c r="F146" s="121">
        <v>2</v>
      </c>
      <c r="G146" s="122">
        <v>2</v>
      </c>
      <c r="H146" s="123">
        <f t="shared" si="5"/>
        <v>3</v>
      </c>
      <c r="I146" s="124" t="s">
        <v>927</v>
      </c>
      <c r="J146" s="125">
        <v>3</v>
      </c>
      <c r="K146" s="122">
        <v>3</v>
      </c>
      <c r="L146" s="111">
        <f t="shared" si="6"/>
        <v>5</v>
      </c>
      <c r="M146" s="124" t="s">
        <v>928</v>
      </c>
      <c r="N146" s="111">
        <v>5</v>
      </c>
      <c r="O146" s="111" t="s">
        <v>608</v>
      </c>
      <c r="P146" s="136"/>
      <c r="Q146" s="128"/>
      <c r="R146" s="128"/>
      <c r="S146" s="128"/>
      <c r="T146" s="128"/>
      <c r="U146" s="128"/>
      <c r="V146" s="128"/>
      <c r="W146" s="128"/>
      <c r="X146" s="128"/>
    </row>
    <row r="147" spans="1:24" ht="36">
      <c r="A147" s="118" t="s">
        <v>435</v>
      </c>
      <c r="B147" s="119" t="s">
        <v>929</v>
      </c>
      <c r="C147" s="119" t="s">
        <v>930</v>
      </c>
      <c r="D147" s="118"/>
      <c r="E147" s="120" t="s">
        <v>931</v>
      </c>
      <c r="F147" s="121">
        <v>3</v>
      </c>
      <c r="G147" s="122">
        <v>2</v>
      </c>
      <c r="H147" s="123">
        <f t="shared" si="5"/>
        <v>4</v>
      </c>
      <c r="I147" s="124" t="s">
        <v>488</v>
      </c>
      <c r="J147" s="125">
        <v>3</v>
      </c>
      <c r="K147" s="122">
        <v>3</v>
      </c>
      <c r="L147" s="111">
        <f t="shared" si="6"/>
        <v>5</v>
      </c>
      <c r="M147" s="124" t="s">
        <v>932</v>
      </c>
      <c r="N147" s="111">
        <v>5</v>
      </c>
      <c r="O147" s="111" t="s">
        <v>608</v>
      </c>
      <c r="P147" s="136"/>
      <c r="Q147" s="128"/>
      <c r="R147" s="128"/>
      <c r="S147" s="128"/>
      <c r="T147" s="128"/>
      <c r="U147" s="128"/>
      <c r="V147" s="128"/>
      <c r="W147" s="128"/>
      <c r="X147" s="128"/>
    </row>
    <row r="148" spans="1:24" ht="24">
      <c r="A148" s="118" t="s">
        <v>450</v>
      </c>
      <c r="B148" s="119" t="s">
        <v>933</v>
      </c>
      <c r="C148" s="119" t="s">
        <v>934</v>
      </c>
      <c r="D148" s="134"/>
      <c r="E148" s="129"/>
      <c r="F148" s="121">
        <v>1</v>
      </c>
      <c r="G148" s="122">
        <v>1</v>
      </c>
      <c r="H148" s="123">
        <f t="shared" si="5"/>
        <v>1</v>
      </c>
      <c r="I148" s="124" t="s">
        <v>935</v>
      </c>
      <c r="J148" s="125">
        <v>3</v>
      </c>
      <c r="K148" s="122">
        <v>3</v>
      </c>
      <c r="L148" s="111">
        <f t="shared" si="6"/>
        <v>5</v>
      </c>
      <c r="M148" s="124" t="s">
        <v>936</v>
      </c>
      <c r="N148" s="111">
        <v>5</v>
      </c>
      <c r="O148" s="111" t="s">
        <v>608</v>
      </c>
      <c r="P148" s="136"/>
      <c r="Q148" s="128"/>
      <c r="R148" s="128"/>
      <c r="S148" s="128"/>
      <c r="T148" s="128"/>
      <c r="U148" s="128"/>
      <c r="V148" s="128"/>
      <c r="W148" s="128"/>
      <c r="X148" s="128"/>
    </row>
    <row r="149" spans="1:24" ht="36">
      <c r="A149" s="118" t="s">
        <v>435</v>
      </c>
      <c r="B149" s="119" t="s">
        <v>937</v>
      </c>
      <c r="C149" s="119" t="s">
        <v>938</v>
      </c>
      <c r="D149" s="118"/>
      <c r="E149" s="120" t="s">
        <v>939</v>
      </c>
      <c r="F149" s="121">
        <v>3</v>
      </c>
      <c r="G149" s="122">
        <v>2</v>
      </c>
      <c r="H149" s="123">
        <f t="shared" si="5"/>
        <v>4</v>
      </c>
      <c r="I149" s="124" t="s">
        <v>940</v>
      </c>
      <c r="J149" s="125">
        <v>3</v>
      </c>
      <c r="K149" s="122">
        <v>3</v>
      </c>
      <c r="L149" s="111">
        <f t="shared" si="6"/>
        <v>5</v>
      </c>
      <c r="M149" s="124" t="s">
        <v>903</v>
      </c>
      <c r="N149" s="111">
        <v>5</v>
      </c>
      <c r="O149" s="111" t="s">
        <v>608</v>
      </c>
      <c r="P149" s="136"/>
      <c r="Q149" s="128"/>
      <c r="R149" s="128"/>
      <c r="S149" s="128"/>
      <c r="T149" s="128"/>
      <c r="U149" s="128"/>
      <c r="V149" s="128"/>
      <c r="W149" s="128"/>
      <c r="X149" s="128"/>
    </row>
    <row r="150" spans="1:24" ht="48">
      <c r="A150" s="118" t="s">
        <v>435</v>
      </c>
      <c r="B150" s="119" t="s">
        <v>941</v>
      </c>
      <c r="C150" s="119" t="s">
        <v>942</v>
      </c>
      <c r="D150" s="118"/>
      <c r="E150" s="129"/>
      <c r="F150" s="121">
        <v>2</v>
      </c>
      <c r="G150" s="122">
        <v>3</v>
      </c>
      <c r="H150" s="123">
        <f t="shared" si="5"/>
        <v>4</v>
      </c>
      <c r="I150" s="124" t="s">
        <v>943</v>
      </c>
      <c r="J150" s="125">
        <v>3</v>
      </c>
      <c r="K150" s="122">
        <v>3</v>
      </c>
      <c r="L150" s="111">
        <f t="shared" si="6"/>
        <v>5</v>
      </c>
      <c r="M150" s="124" t="s">
        <v>662</v>
      </c>
      <c r="N150" s="111">
        <v>5</v>
      </c>
      <c r="O150" s="111" t="s">
        <v>608</v>
      </c>
      <c r="P150" s="136"/>
      <c r="Q150" s="128"/>
      <c r="R150" s="128"/>
      <c r="S150" s="128"/>
      <c r="T150" s="128"/>
      <c r="U150" s="128"/>
      <c r="V150" s="128"/>
      <c r="W150" s="128"/>
      <c r="X150" s="128"/>
    </row>
    <row r="151" spans="1:24" ht="36">
      <c r="A151" s="118" t="s">
        <v>435</v>
      </c>
      <c r="B151" s="119" t="s">
        <v>944</v>
      </c>
      <c r="C151" s="119" t="s">
        <v>945</v>
      </c>
      <c r="D151" s="118"/>
      <c r="E151" s="120" t="s">
        <v>946</v>
      </c>
      <c r="F151" s="121">
        <v>2</v>
      </c>
      <c r="G151" s="122">
        <v>2</v>
      </c>
      <c r="H151" s="123">
        <f t="shared" si="5"/>
        <v>3</v>
      </c>
      <c r="I151" s="124" t="s">
        <v>947</v>
      </c>
      <c r="J151" s="125">
        <v>3</v>
      </c>
      <c r="K151" s="122">
        <v>3</v>
      </c>
      <c r="L151" s="111">
        <f t="shared" si="6"/>
        <v>5</v>
      </c>
      <c r="M151" s="124" t="s">
        <v>948</v>
      </c>
      <c r="N151" s="111">
        <v>5</v>
      </c>
      <c r="O151" s="111" t="s">
        <v>608</v>
      </c>
      <c r="P151" s="136"/>
      <c r="Q151" s="128"/>
      <c r="R151" s="128"/>
      <c r="S151" s="128"/>
      <c r="T151" s="128"/>
      <c r="U151" s="128"/>
      <c r="V151" s="128"/>
      <c r="W151" s="128"/>
      <c r="X151" s="128"/>
    </row>
    <row r="152" spans="1:24" ht="72">
      <c r="A152" s="118" t="s">
        <v>435</v>
      </c>
      <c r="B152" s="119" t="s">
        <v>949</v>
      </c>
      <c r="C152" s="119" t="s">
        <v>950</v>
      </c>
      <c r="D152" s="134"/>
      <c r="E152" s="120" t="s">
        <v>951</v>
      </c>
      <c r="F152" s="121">
        <v>3</v>
      </c>
      <c r="G152" s="122">
        <v>2</v>
      </c>
      <c r="H152" s="123">
        <f t="shared" si="5"/>
        <v>4</v>
      </c>
      <c r="I152" s="124" t="s">
        <v>952</v>
      </c>
      <c r="J152" s="125">
        <v>3</v>
      </c>
      <c r="K152" s="122">
        <v>3</v>
      </c>
      <c r="L152" s="111">
        <f t="shared" si="6"/>
        <v>5</v>
      </c>
      <c r="M152" s="124" t="s">
        <v>953</v>
      </c>
      <c r="N152" s="111">
        <v>5</v>
      </c>
      <c r="O152" s="111" t="s">
        <v>608</v>
      </c>
      <c r="P152" s="136"/>
      <c r="Q152" s="128"/>
      <c r="R152" s="128"/>
      <c r="S152" s="128"/>
      <c r="T152" s="128"/>
      <c r="U152" s="128"/>
      <c r="V152" s="128"/>
      <c r="W152" s="128"/>
      <c r="X152" s="128"/>
    </row>
    <row r="153" spans="1:24" ht="36">
      <c r="A153" s="118" t="s">
        <v>435</v>
      </c>
      <c r="B153" s="119" t="s">
        <v>954</v>
      </c>
      <c r="C153" s="119" t="s">
        <v>955</v>
      </c>
      <c r="D153" s="134"/>
      <c r="E153" s="120" t="s">
        <v>956</v>
      </c>
      <c r="F153" s="121">
        <v>2</v>
      </c>
      <c r="G153" s="122">
        <v>2</v>
      </c>
      <c r="H153" s="123">
        <f t="shared" si="5"/>
        <v>3</v>
      </c>
      <c r="I153" s="124" t="s">
        <v>957</v>
      </c>
      <c r="J153" s="125">
        <v>3</v>
      </c>
      <c r="K153" s="122">
        <v>3</v>
      </c>
      <c r="L153" s="111">
        <f t="shared" si="6"/>
        <v>5</v>
      </c>
      <c r="M153" s="124" t="s">
        <v>958</v>
      </c>
      <c r="N153" s="111">
        <v>5</v>
      </c>
      <c r="O153" s="111" t="s">
        <v>608</v>
      </c>
      <c r="P153" s="136"/>
      <c r="Q153" s="128"/>
      <c r="R153" s="128"/>
      <c r="S153" s="128"/>
      <c r="T153" s="128"/>
      <c r="U153" s="128"/>
      <c r="V153" s="128"/>
      <c r="W153" s="128"/>
      <c r="X153" s="128"/>
    </row>
    <row r="154" spans="1:24" ht="48">
      <c r="A154" s="118" t="s">
        <v>435</v>
      </c>
      <c r="B154" s="119" t="s">
        <v>959</v>
      </c>
      <c r="C154" s="119" t="s">
        <v>960</v>
      </c>
      <c r="D154" s="134"/>
      <c r="E154" s="129"/>
      <c r="F154" s="121">
        <v>3</v>
      </c>
      <c r="G154" s="122">
        <v>2</v>
      </c>
      <c r="H154" s="123">
        <f t="shared" si="5"/>
        <v>4</v>
      </c>
      <c r="I154" s="124" t="s">
        <v>961</v>
      </c>
      <c r="J154" s="125">
        <v>3</v>
      </c>
      <c r="K154" s="122">
        <v>3</v>
      </c>
      <c r="L154" s="111">
        <f t="shared" si="6"/>
        <v>5</v>
      </c>
      <c r="M154" s="124" t="s">
        <v>962</v>
      </c>
      <c r="N154" s="111">
        <v>5</v>
      </c>
      <c r="O154" s="111" t="s">
        <v>608</v>
      </c>
      <c r="P154" s="136"/>
      <c r="Q154" s="128"/>
      <c r="R154" s="128"/>
      <c r="S154" s="128"/>
      <c r="T154" s="128"/>
      <c r="U154" s="128"/>
      <c r="V154" s="128"/>
      <c r="W154" s="128"/>
      <c r="X154" s="128"/>
    </row>
    <row r="155" spans="1:24" ht="60">
      <c r="A155" s="118" t="s">
        <v>435</v>
      </c>
      <c r="B155" s="119" t="s">
        <v>963</v>
      </c>
      <c r="C155" s="146" t="s">
        <v>964</v>
      </c>
      <c r="D155" s="134"/>
      <c r="E155" s="120" t="s">
        <v>965</v>
      </c>
      <c r="F155" s="121">
        <v>2</v>
      </c>
      <c r="G155" s="122">
        <v>2</v>
      </c>
      <c r="H155" s="123">
        <f t="shared" si="5"/>
        <v>3</v>
      </c>
      <c r="I155" s="124" t="s">
        <v>444</v>
      </c>
      <c r="J155" s="125">
        <v>3</v>
      </c>
      <c r="K155" s="122">
        <v>3</v>
      </c>
      <c r="L155" s="111">
        <f t="shared" si="6"/>
        <v>5</v>
      </c>
      <c r="M155" s="124" t="s">
        <v>966</v>
      </c>
      <c r="N155" s="111">
        <v>5</v>
      </c>
      <c r="O155" s="111" t="s">
        <v>608</v>
      </c>
      <c r="P155" s="136"/>
      <c r="Q155" s="128"/>
      <c r="R155" s="128"/>
      <c r="S155" s="128"/>
      <c r="T155" s="128"/>
      <c r="U155" s="128"/>
      <c r="V155" s="128"/>
      <c r="W155" s="128"/>
      <c r="X155" s="128"/>
    </row>
    <row r="156" spans="1:24" ht="60">
      <c r="A156" s="118" t="s">
        <v>435</v>
      </c>
      <c r="B156" s="119" t="s">
        <v>967</v>
      </c>
      <c r="C156" s="142" t="s">
        <v>622</v>
      </c>
      <c r="D156" s="134"/>
      <c r="E156" s="129"/>
      <c r="F156" s="121">
        <v>2</v>
      </c>
      <c r="G156" s="122">
        <v>2</v>
      </c>
      <c r="H156" s="123">
        <f t="shared" si="5"/>
        <v>3</v>
      </c>
      <c r="I156" s="124" t="s">
        <v>968</v>
      </c>
      <c r="J156" s="125">
        <v>3</v>
      </c>
      <c r="K156" s="122">
        <v>3</v>
      </c>
      <c r="L156" s="111">
        <f t="shared" si="6"/>
        <v>5</v>
      </c>
      <c r="M156" s="124" t="s">
        <v>969</v>
      </c>
      <c r="N156" s="111">
        <v>5</v>
      </c>
      <c r="O156" s="111" t="s">
        <v>608</v>
      </c>
      <c r="P156" s="136"/>
      <c r="Q156" s="128"/>
      <c r="R156" s="128"/>
      <c r="S156" s="128"/>
      <c r="T156" s="128"/>
      <c r="U156" s="128"/>
      <c r="V156" s="128"/>
      <c r="W156" s="128"/>
      <c r="X156" s="128"/>
    </row>
    <row r="157" spans="1:24" ht="60">
      <c r="A157" s="118" t="s">
        <v>435</v>
      </c>
      <c r="B157" s="119" t="s">
        <v>970</v>
      </c>
      <c r="C157" s="119" t="s">
        <v>971</v>
      </c>
      <c r="D157" s="118"/>
      <c r="E157" s="120" t="s">
        <v>972</v>
      </c>
      <c r="F157" s="121">
        <v>3</v>
      </c>
      <c r="G157" s="122">
        <v>2</v>
      </c>
      <c r="H157" s="123">
        <f t="shared" si="5"/>
        <v>4</v>
      </c>
      <c r="I157" s="124" t="s">
        <v>973</v>
      </c>
      <c r="J157" s="125">
        <v>3</v>
      </c>
      <c r="K157" s="122">
        <v>3</v>
      </c>
      <c r="L157" s="111">
        <f t="shared" si="6"/>
        <v>5</v>
      </c>
      <c r="M157" s="124" t="s">
        <v>974</v>
      </c>
      <c r="N157" s="111">
        <v>5</v>
      </c>
      <c r="O157" s="111" t="s">
        <v>608</v>
      </c>
      <c r="P157" s="136"/>
      <c r="Q157" s="128"/>
      <c r="R157" s="128"/>
      <c r="S157" s="128"/>
      <c r="T157" s="128"/>
      <c r="U157" s="128"/>
      <c r="V157" s="128"/>
      <c r="W157" s="128"/>
      <c r="X157" s="128"/>
    </row>
    <row r="158" spans="1:24" ht="36">
      <c r="A158" s="118" t="s">
        <v>435</v>
      </c>
      <c r="B158" s="119" t="s">
        <v>975</v>
      </c>
      <c r="C158" s="142" t="s">
        <v>976</v>
      </c>
      <c r="D158" s="134"/>
      <c r="E158" s="120" t="s">
        <v>977</v>
      </c>
      <c r="F158" s="121">
        <v>2</v>
      </c>
      <c r="G158" s="122">
        <v>2</v>
      </c>
      <c r="H158" s="123">
        <f t="shared" si="5"/>
        <v>3</v>
      </c>
      <c r="I158" s="124" t="s">
        <v>978</v>
      </c>
      <c r="J158" s="125">
        <v>3</v>
      </c>
      <c r="K158" s="122">
        <v>3</v>
      </c>
      <c r="L158" s="111">
        <f t="shared" si="6"/>
        <v>5</v>
      </c>
      <c r="M158" s="124" t="s">
        <v>979</v>
      </c>
      <c r="N158" s="111">
        <v>5</v>
      </c>
      <c r="O158" s="111" t="s">
        <v>608</v>
      </c>
      <c r="P158" s="136"/>
      <c r="Q158" s="128"/>
      <c r="R158" s="128"/>
      <c r="S158" s="128"/>
      <c r="T158" s="128"/>
      <c r="U158" s="128"/>
      <c r="V158" s="128"/>
      <c r="W158" s="128"/>
      <c r="X158" s="128"/>
    </row>
    <row r="159" spans="1:24" ht="48">
      <c r="A159" s="118" t="s">
        <v>435</v>
      </c>
      <c r="B159" s="119" t="s">
        <v>980</v>
      </c>
      <c r="C159" s="119" t="s">
        <v>981</v>
      </c>
      <c r="D159" s="134"/>
      <c r="E159" s="120" t="s">
        <v>982</v>
      </c>
      <c r="F159" s="121">
        <v>2</v>
      </c>
      <c r="G159" s="122">
        <v>2</v>
      </c>
      <c r="H159" s="123">
        <f t="shared" si="5"/>
        <v>3</v>
      </c>
      <c r="I159" s="124" t="s">
        <v>983</v>
      </c>
      <c r="J159" s="125">
        <v>3</v>
      </c>
      <c r="K159" s="122">
        <v>3</v>
      </c>
      <c r="L159" s="111">
        <f t="shared" si="6"/>
        <v>5</v>
      </c>
      <c r="M159" s="124" t="s">
        <v>984</v>
      </c>
      <c r="N159" s="111">
        <v>5</v>
      </c>
      <c r="O159" s="111" t="s">
        <v>608</v>
      </c>
      <c r="P159" s="136"/>
      <c r="Q159" s="128"/>
      <c r="R159" s="128"/>
      <c r="S159" s="128"/>
      <c r="T159" s="128"/>
      <c r="U159" s="128"/>
      <c r="V159" s="128"/>
      <c r="W159" s="128"/>
      <c r="X159" s="128"/>
    </row>
    <row r="160" spans="1:24" ht="36">
      <c r="A160" s="118" t="s">
        <v>435</v>
      </c>
      <c r="B160" s="119" t="s">
        <v>985</v>
      </c>
      <c r="C160" s="142" t="s">
        <v>986</v>
      </c>
      <c r="D160" s="134"/>
      <c r="E160" s="129"/>
      <c r="F160" s="121">
        <v>2</v>
      </c>
      <c r="G160" s="122">
        <v>2</v>
      </c>
      <c r="H160" s="123">
        <f t="shared" si="5"/>
        <v>3</v>
      </c>
      <c r="I160" s="124" t="s">
        <v>444</v>
      </c>
      <c r="J160" s="125">
        <v>3</v>
      </c>
      <c r="K160" s="122">
        <v>3</v>
      </c>
      <c r="L160" s="111">
        <f t="shared" si="6"/>
        <v>5</v>
      </c>
      <c r="M160" s="124" t="s">
        <v>987</v>
      </c>
      <c r="N160" s="111">
        <v>5</v>
      </c>
      <c r="O160" s="111" t="s">
        <v>608</v>
      </c>
      <c r="P160" s="136"/>
      <c r="Q160" s="128"/>
      <c r="R160" s="128"/>
      <c r="S160" s="128"/>
      <c r="T160" s="128"/>
      <c r="U160" s="128"/>
      <c r="V160" s="128"/>
      <c r="W160" s="128"/>
      <c r="X160" s="128"/>
    </row>
    <row r="161" spans="1:24" ht="48">
      <c r="A161" s="118" t="s">
        <v>435</v>
      </c>
      <c r="B161" s="119" t="s">
        <v>988</v>
      </c>
      <c r="C161" s="119" t="s">
        <v>989</v>
      </c>
      <c r="D161" s="134"/>
      <c r="E161" s="120" t="s">
        <v>481</v>
      </c>
      <c r="F161" s="121">
        <v>3</v>
      </c>
      <c r="G161" s="122">
        <v>2</v>
      </c>
      <c r="H161" s="123">
        <f t="shared" si="5"/>
        <v>4</v>
      </c>
      <c r="I161" s="124" t="s">
        <v>990</v>
      </c>
      <c r="J161" s="125">
        <v>3</v>
      </c>
      <c r="K161" s="122">
        <v>3</v>
      </c>
      <c r="L161" s="111">
        <f t="shared" si="6"/>
        <v>5</v>
      </c>
      <c r="M161" s="124" t="s">
        <v>991</v>
      </c>
      <c r="N161" s="111">
        <v>5</v>
      </c>
      <c r="O161" s="111" t="s">
        <v>608</v>
      </c>
      <c r="P161" s="136"/>
      <c r="Q161" s="128"/>
      <c r="R161" s="128"/>
      <c r="S161" s="128"/>
      <c r="T161" s="128"/>
      <c r="U161" s="128"/>
      <c r="V161" s="128"/>
      <c r="W161" s="128"/>
      <c r="X161" s="128"/>
    </row>
    <row r="162" spans="1:24" ht="36">
      <c r="A162" s="118" t="s">
        <v>435</v>
      </c>
      <c r="B162" s="119" t="s">
        <v>992</v>
      </c>
      <c r="C162" s="119" t="s">
        <v>993</v>
      </c>
      <c r="D162" s="134"/>
      <c r="E162" s="120" t="s">
        <v>994</v>
      </c>
      <c r="F162" s="121">
        <v>1</v>
      </c>
      <c r="G162" s="122">
        <v>2</v>
      </c>
      <c r="H162" s="123">
        <f t="shared" si="5"/>
        <v>2</v>
      </c>
      <c r="I162" s="124" t="s">
        <v>995</v>
      </c>
      <c r="J162" s="125">
        <v>3</v>
      </c>
      <c r="K162" s="122">
        <v>3</v>
      </c>
      <c r="L162" s="111">
        <f t="shared" si="6"/>
        <v>5</v>
      </c>
      <c r="M162" s="124" t="s">
        <v>996</v>
      </c>
      <c r="N162" s="111">
        <v>5</v>
      </c>
      <c r="O162" s="111" t="s">
        <v>608</v>
      </c>
      <c r="P162" s="136"/>
      <c r="Q162" s="128"/>
      <c r="R162" s="128"/>
      <c r="S162" s="128"/>
      <c r="T162" s="128"/>
      <c r="U162" s="128"/>
      <c r="V162" s="128"/>
      <c r="W162" s="128"/>
      <c r="X162" s="128"/>
    </row>
    <row r="163" spans="1:24" ht="36">
      <c r="A163" s="118" t="s">
        <v>435</v>
      </c>
      <c r="B163" s="119" t="s">
        <v>997</v>
      </c>
      <c r="C163" s="119" t="s">
        <v>998</v>
      </c>
      <c r="D163" s="134"/>
      <c r="E163" s="129"/>
      <c r="F163" s="121">
        <v>2</v>
      </c>
      <c r="G163" s="122">
        <v>2</v>
      </c>
      <c r="H163" s="123">
        <f t="shared" si="5"/>
        <v>3</v>
      </c>
      <c r="I163" s="124" t="s">
        <v>482</v>
      </c>
      <c r="J163" s="125">
        <v>3</v>
      </c>
      <c r="K163" s="122">
        <v>3</v>
      </c>
      <c r="L163" s="111">
        <f t="shared" si="6"/>
        <v>5</v>
      </c>
      <c r="M163" s="124" t="s">
        <v>671</v>
      </c>
      <c r="N163" s="111">
        <v>5</v>
      </c>
      <c r="O163" s="111" t="s">
        <v>608</v>
      </c>
      <c r="P163" s="136"/>
      <c r="Q163" s="128"/>
      <c r="R163" s="128"/>
      <c r="S163" s="128"/>
      <c r="T163" s="128"/>
      <c r="U163" s="128"/>
      <c r="V163" s="128"/>
      <c r="W163" s="128"/>
      <c r="X163" s="128"/>
    </row>
    <row r="164" spans="1:24" ht="36">
      <c r="A164" s="118" t="s">
        <v>435</v>
      </c>
      <c r="B164" s="119" t="s">
        <v>999</v>
      </c>
      <c r="C164" s="119" t="s">
        <v>1000</v>
      </c>
      <c r="D164" s="118"/>
      <c r="E164" s="129"/>
      <c r="F164" s="121">
        <v>2</v>
      </c>
      <c r="G164" s="122">
        <v>2</v>
      </c>
      <c r="H164" s="123">
        <f t="shared" si="5"/>
        <v>3</v>
      </c>
      <c r="I164" s="124" t="s">
        <v>1001</v>
      </c>
      <c r="J164" s="125">
        <v>3</v>
      </c>
      <c r="K164" s="122">
        <v>3</v>
      </c>
      <c r="L164" s="111">
        <f t="shared" si="6"/>
        <v>5</v>
      </c>
      <c r="M164" s="124" t="s">
        <v>903</v>
      </c>
      <c r="N164" s="111">
        <v>5</v>
      </c>
      <c r="O164" s="111" t="s">
        <v>608</v>
      </c>
      <c r="P164" s="136"/>
      <c r="Q164" s="128"/>
      <c r="R164" s="128"/>
      <c r="S164" s="128"/>
      <c r="T164" s="128"/>
      <c r="U164" s="128"/>
      <c r="V164" s="128"/>
      <c r="W164" s="128"/>
      <c r="X164" s="128"/>
    </row>
    <row r="165" spans="1:24" ht="36">
      <c r="A165" s="118" t="s">
        <v>435</v>
      </c>
      <c r="B165" s="119" t="s">
        <v>1002</v>
      </c>
      <c r="C165" s="119" t="s">
        <v>1003</v>
      </c>
      <c r="D165" s="134"/>
      <c r="E165" s="129"/>
      <c r="F165" s="121">
        <v>2</v>
      </c>
      <c r="G165" s="122">
        <v>3</v>
      </c>
      <c r="H165" s="123">
        <f t="shared" si="5"/>
        <v>4</v>
      </c>
      <c r="I165" s="124" t="s">
        <v>1004</v>
      </c>
      <c r="J165" s="125">
        <v>3</v>
      </c>
      <c r="K165" s="122">
        <v>3</v>
      </c>
      <c r="L165" s="111">
        <f t="shared" si="6"/>
        <v>5</v>
      </c>
      <c r="M165" s="124" t="s">
        <v>1005</v>
      </c>
      <c r="N165" s="111">
        <v>5</v>
      </c>
      <c r="O165" s="111" t="s">
        <v>608</v>
      </c>
      <c r="P165" s="136"/>
      <c r="Q165" s="128"/>
      <c r="R165" s="128"/>
      <c r="S165" s="128"/>
      <c r="T165" s="128"/>
      <c r="U165" s="128"/>
      <c r="V165" s="128"/>
      <c r="W165" s="128"/>
      <c r="X165" s="128"/>
    </row>
    <row r="166" spans="1:24" ht="36">
      <c r="A166" s="118" t="s">
        <v>435</v>
      </c>
      <c r="B166" s="119" t="s">
        <v>1006</v>
      </c>
      <c r="C166" s="119" t="s">
        <v>1007</v>
      </c>
      <c r="D166" s="134"/>
      <c r="E166" s="120" t="s">
        <v>1008</v>
      </c>
      <c r="F166" s="121">
        <v>2</v>
      </c>
      <c r="G166" s="122">
        <v>2</v>
      </c>
      <c r="H166" s="123">
        <f t="shared" ref="H166:H229" si="7">(F166+G166)-1</f>
        <v>3</v>
      </c>
      <c r="I166" s="124" t="s">
        <v>1009</v>
      </c>
      <c r="J166" s="125">
        <v>3</v>
      </c>
      <c r="K166" s="122">
        <v>3</v>
      </c>
      <c r="L166" s="111">
        <f t="shared" si="6"/>
        <v>5</v>
      </c>
      <c r="M166" s="124" t="s">
        <v>1010</v>
      </c>
      <c r="N166" s="111">
        <v>5</v>
      </c>
      <c r="O166" s="111" t="s">
        <v>608</v>
      </c>
      <c r="P166" s="136"/>
      <c r="Q166" s="128"/>
      <c r="R166" s="128"/>
      <c r="S166" s="128"/>
      <c r="T166" s="128"/>
      <c r="U166" s="128"/>
      <c r="V166" s="128"/>
      <c r="W166" s="128"/>
      <c r="X166" s="128"/>
    </row>
    <row r="167" spans="1:24" ht="36">
      <c r="A167" s="118" t="s">
        <v>435</v>
      </c>
      <c r="B167" s="119" t="s">
        <v>1011</v>
      </c>
      <c r="C167" s="119" t="s">
        <v>1012</v>
      </c>
      <c r="D167" s="118"/>
      <c r="E167" s="120" t="s">
        <v>1013</v>
      </c>
      <c r="F167" s="121">
        <v>3</v>
      </c>
      <c r="G167" s="122">
        <v>2</v>
      </c>
      <c r="H167" s="123">
        <f t="shared" si="7"/>
        <v>4</v>
      </c>
      <c r="I167" s="124" t="s">
        <v>1014</v>
      </c>
      <c r="J167" s="125">
        <v>3</v>
      </c>
      <c r="K167" s="122">
        <v>3</v>
      </c>
      <c r="L167" s="111">
        <f t="shared" si="6"/>
        <v>5</v>
      </c>
      <c r="M167" s="124" t="s">
        <v>1015</v>
      </c>
      <c r="N167" s="111">
        <v>5</v>
      </c>
      <c r="O167" s="111" t="s">
        <v>608</v>
      </c>
      <c r="P167" s="136"/>
      <c r="Q167" s="128"/>
      <c r="R167" s="128"/>
      <c r="S167" s="128"/>
      <c r="T167" s="128"/>
      <c r="U167" s="128"/>
      <c r="V167" s="128"/>
      <c r="W167" s="128"/>
      <c r="X167" s="128"/>
    </row>
    <row r="168" spans="1:24" ht="36">
      <c r="A168" s="118" t="s">
        <v>450</v>
      </c>
      <c r="B168" s="119" t="s">
        <v>1016</v>
      </c>
      <c r="C168" s="119" t="s">
        <v>1017</v>
      </c>
      <c r="D168" s="134"/>
      <c r="E168" s="129"/>
      <c r="F168" s="121">
        <v>2</v>
      </c>
      <c r="G168" s="122">
        <v>3</v>
      </c>
      <c r="H168" s="123">
        <f t="shared" si="7"/>
        <v>4</v>
      </c>
      <c r="I168" s="124" t="s">
        <v>1018</v>
      </c>
      <c r="J168" s="125">
        <v>3</v>
      </c>
      <c r="K168" s="122">
        <v>3</v>
      </c>
      <c r="L168" s="111">
        <f t="shared" si="6"/>
        <v>5</v>
      </c>
      <c r="M168" s="124" t="s">
        <v>1019</v>
      </c>
      <c r="N168" s="111">
        <v>5</v>
      </c>
      <c r="O168" s="111" t="s">
        <v>608</v>
      </c>
      <c r="P168" s="136"/>
      <c r="Q168" s="128"/>
      <c r="R168" s="128"/>
      <c r="S168" s="128"/>
      <c r="T168" s="128"/>
      <c r="U168" s="128"/>
      <c r="V168" s="128"/>
      <c r="W168" s="128"/>
      <c r="X168" s="128"/>
    </row>
    <row r="169" spans="1:24" ht="48">
      <c r="A169" s="118" t="s">
        <v>435</v>
      </c>
      <c r="B169" s="119" t="s">
        <v>1020</v>
      </c>
      <c r="C169" s="119" t="s">
        <v>1021</v>
      </c>
      <c r="D169" s="118"/>
      <c r="E169" s="129"/>
      <c r="F169" s="121">
        <v>3</v>
      </c>
      <c r="G169" s="122">
        <v>3</v>
      </c>
      <c r="H169" s="123">
        <f t="shared" si="7"/>
        <v>5</v>
      </c>
      <c r="I169" s="124" t="s">
        <v>538</v>
      </c>
      <c r="J169" s="147">
        <v>3</v>
      </c>
      <c r="K169" s="122">
        <v>3</v>
      </c>
      <c r="L169" s="111">
        <f t="shared" si="6"/>
        <v>5</v>
      </c>
      <c r="M169" s="124" t="s">
        <v>785</v>
      </c>
      <c r="N169" s="111">
        <v>5</v>
      </c>
      <c r="O169" s="111" t="s">
        <v>608</v>
      </c>
      <c r="P169" s="136"/>
      <c r="Q169" s="128"/>
      <c r="R169" s="128"/>
      <c r="S169" s="128"/>
      <c r="T169" s="128"/>
      <c r="U169" s="128"/>
      <c r="V169" s="128"/>
      <c r="W169" s="128"/>
      <c r="X169" s="128"/>
    </row>
    <row r="170" spans="1:24" ht="36">
      <c r="A170" s="118" t="s">
        <v>435</v>
      </c>
      <c r="B170" s="119" t="s">
        <v>1022</v>
      </c>
      <c r="C170" s="142" t="s">
        <v>1023</v>
      </c>
      <c r="D170" s="134"/>
      <c r="E170" s="129"/>
      <c r="F170" s="121">
        <v>3</v>
      </c>
      <c r="G170" s="122">
        <v>3</v>
      </c>
      <c r="H170" s="123">
        <f t="shared" si="7"/>
        <v>5</v>
      </c>
      <c r="I170" s="124" t="s">
        <v>538</v>
      </c>
      <c r="J170" s="125">
        <v>2</v>
      </c>
      <c r="K170" s="122">
        <v>2</v>
      </c>
      <c r="L170" s="111">
        <f t="shared" si="6"/>
        <v>3</v>
      </c>
      <c r="M170" s="124" t="s">
        <v>778</v>
      </c>
      <c r="N170" s="111">
        <v>5</v>
      </c>
      <c r="O170" s="111" t="s">
        <v>608</v>
      </c>
      <c r="P170" s="136"/>
      <c r="Q170" s="128"/>
      <c r="R170" s="128"/>
      <c r="S170" s="128"/>
      <c r="T170" s="128"/>
      <c r="U170" s="128"/>
      <c r="V170" s="128"/>
      <c r="W170" s="128"/>
      <c r="X170" s="128"/>
    </row>
    <row r="171" spans="1:24" ht="36">
      <c r="A171" s="118" t="s">
        <v>435</v>
      </c>
      <c r="B171" s="119" t="s">
        <v>1024</v>
      </c>
      <c r="C171" s="119" t="s">
        <v>1025</v>
      </c>
      <c r="D171" s="134"/>
      <c r="E171" s="120" t="s">
        <v>1026</v>
      </c>
      <c r="F171" s="121">
        <v>3</v>
      </c>
      <c r="G171" s="122">
        <v>3</v>
      </c>
      <c r="H171" s="123">
        <f t="shared" si="7"/>
        <v>5</v>
      </c>
      <c r="I171" s="124" t="s">
        <v>538</v>
      </c>
      <c r="J171" s="125">
        <v>2</v>
      </c>
      <c r="K171" s="122">
        <v>2</v>
      </c>
      <c r="L171" s="111">
        <f t="shared" si="6"/>
        <v>3</v>
      </c>
      <c r="M171" s="124" t="s">
        <v>778</v>
      </c>
      <c r="N171" s="111">
        <v>5</v>
      </c>
      <c r="O171" s="111" t="s">
        <v>608</v>
      </c>
      <c r="P171" s="136"/>
      <c r="Q171" s="128"/>
      <c r="R171" s="128"/>
      <c r="S171" s="128"/>
      <c r="T171" s="128"/>
      <c r="U171" s="128"/>
      <c r="V171" s="128"/>
      <c r="W171" s="128"/>
      <c r="X171" s="128"/>
    </row>
    <row r="172" spans="1:24" ht="60">
      <c r="A172" s="118" t="s">
        <v>450</v>
      </c>
      <c r="B172" s="119" t="s">
        <v>1027</v>
      </c>
      <c r="C172" s="119" t="s">
        <v>1028</v>
      </c>
      <c r="D172" s="118"/>
      <c r="E172" s="129"/>
      <c r="F172" s="121">
        <v>3</v>
      </c>
      <c r="G172" s="122">
        <v>3</v>
      </c>
      <c r="H172" s="123">
        <f t="shared" si="7"/>
        <v>5</v>
      </c>
      <c r="I172" s="124" t="s">
        <v>1029</v>
      </c>
      <c r="J172" s="137" t="s">
        <v>441</v>
      </c>
      <c r="K172" s="138" t="s">
        <v>441</v>
      </c>
      <c r="L172" s="139" t="s">
        <v>441</v>
      </c>
      <c r="M172" s="124" t="s">
        <v>1030</v>
      </c>
      <c r="N172" s="111">
        <v>5</v>
      </c>
      <c r="O172" s="111" t="s">
        <v>608</v>
      </c>
      <c r="P172" s="126" t="s">
        <v>1031</v>
      </c>
      <c r="Q172" s="128"/>
      <c r="R172" s="128"/>
      <c r="S172" s="128"/>
      <c r="T172" s="128"/>
      <c r="U172" s="128"/>
      <c r="V172" s="128"/>
      <c r="W172" s="128"/>
      <c r="X172" s="128"/>
    </row>
    <row r="173" spans="1:24" ht="48">
      <c r="A173" s="118" t="s">
        <v>450</v>
      </c>
      <c r="B173" s="119" t="s">
        <v>1032</v>
      </c>
      <c r="C173" s="119" t="s">
        <v>1033</v>
      </c>
      <c r="D173" s="118"/>
      <c r="E173" s="129"/>
      <c r="F173" s="121">
        <v>3</v>
      </c>
      <c r="G173" s="122">
        <v>3</v>
      </c>
      <c r="H173" s="123">
        <f t="shared" si="7"/>
        <v>5</v>
      </c>
      <c r="I173" s="124" t="s">
        <v>1034</v>
      </c>
      <c r="J173" s="137" t="s">
        <v>441</v>
      </c>
      <c r="K173" s="138" t="s">
        <v>441</v>
      </c>
      <c r="L173" s="139" t="s">
        <v>441</v>
      </c>
      <c r="M173" s="124" t="s">
        <v>515</v>
      </c>
      <c r="N173" s="111">
        <v>5</v>
      </c>
      <c r="O173" s="111" t="s">
        <v>608</v>
      </c>
      <c r="P173" s="136"/>
      <c r="Q173" s="128"/>
      <c r="R173" s="128"/>
      <c r="S173" s="128"/>
      <c r="T173" s="128"/>
      <c r="U173" s="128"/>
      <c r="V173" s="128"/>
      <c r="W173" s="128"/>
      <c r="X173" s="128"/>
    </row>
    <row r="174" spans="1:24" ht="36">
      <c r="A174" s="118" t="s">
        <v>435</v>
      </c>
      <c r="B174" s="119" t="s">
        <v>1035</v>
      </c>
      <c r="C174" s="119" t="s">
        <v>1036</v>
      </c>
      <c r="D174" s="118"/>
      <c r="E174" s="120" t="s">
        <v>1037</v>
      </c>
      <c r="F174" s="121">
        <v>2</v>
      </c>
      <c r="G174" s="122">
        <v>2</v>
      </c>
      <c r="H174" s="123">
        <f t="shared" si="7"/>
        <v>3</v>
      </c>
      <c r="I174" s="124" t="s">
        <v>957</v>
      </c>
      <c r="J174" s="125">
        <v>3</v>
      </c>
      <c r="K174" s="122">
        <v>2</v>
      </c>
      <c r="L174" s="111">
        <f t="shared" ref="L174:L180" si="8">(J174+K174)-1</f>
        <v>4</v>
      </c>
      <c r="M174" s="124" t="s">
        <v>1038</v>
      </c>
      <c r="N174" s="111">
        <v>5</v>
      </c>
      <c r="O174" s="111" t="s">
        <v>608</v>
      </c>
      <c r="P174" s="136"/>
      <c r="Q174" s="128"/>
      <c r="R174" s="128"/>
      <c r="S174" s="128"/>
      <c r="T174" s="128"/>
      <c r="U174" s="128"/>
      <c r="V174" s="128"/>
      <c r="W174" s="128"/>
      <c r="X174" s="128"/>
    </row>
    <row r="175" spans="1:24" ht="36">
      <c r="A175" s="148" t="s">
        <v>428</v>
      </c>
      <c r="B175" s="118" t="s">
        <v>1039</v>
      </c>
      <c r="C175" s="119" t="s">
        <v>1040</v>
      </c>
      <c r="D175" s="118"/>
      <c r="E175" s="120"/>
      <c r="F175" s="121">
        <v>2</v>
      </c>
      <c r="G175" s="122">
        <v>2</v>
      </c>
      <c r="H175" s="123">
        <f t="shared" si="7"/>
        <v>3</v>
      </c>
      <c r="I175" s="124" t="s">
        <v>1041</v>
      </c>
      <c r="J175" s="125">
        <v>2</v>
      </c>
      <c r="K175" s="122">
        <v>4</v>
      </c>
      <c r="L175" s="111">
        <f t="shared" si="8"/>
        <v>5</v>
      </c>
      <c r="M175" s="124" t="s">
        <v>1042</v>
      </c>
      <c r="N175" s="111">
        <v>5</v>
      </c>
      <c r="O175" s="111" t="s">
        <v>608</v>
      </c>
      <c r="P175" s="136"/>
      <c r="Q175" s="128"/>
      <c r="R175" s="128"/>
      <c r="S175" s="128"/>
      <c r="T175" s="128"/>
      <c r="U175" s="128"/>
      <c r="V175" s="128"/>
      <c r="W175" s="128"/>
      <c r="X175" s="128"/>
    </row>
    <row r="176" spans="1:24" ht="60">
      <c r="A176" s="118" t="s">
        <v>591</v>
      </c>
      <c r="B176" s="119" t="s">
        <v>248</v>
      </c>
      <c r="C176" s="119" t="s">
        <v>1043</v>
      </c>
      <c r="D176" s="118"/>
      <c r="E176" s="129"/>
      <c r="F176" s="121">
        <v>2</v>
      </c>
      <c r="G176" s="122">
        <v>3</v>
      </c>
      <c r="H176" s="123">
        <f t="shared" si="7"/>
        <v>4</v>
      </c>
      <c r="I176" s="124" t="s">
        <v>1044</v>
      </c>
      <c r="J176" s="125">
        <v>2</v>
      </c>
      <c r="K176" s="122">
        <v>4</v>
      </c>
      <c r="L176" s="111">
        <f t="shared" si="8"/>
        <v>5</v>
      </c>
      <c r="M176" s="124" t="s">
        <v>1045</v>
      </c>
      <c r="N176" s="111">
        <v>5</v>
      </c>
      <c r="O176" s="111" t="s">
        <v>608</v>
      </c>
      <c r="P176" s="136"/>
      <c r="Q176" s="128"/>
      <c r="R176" s="128"/>
      <c r="S176" s="128"/>
      <c r="T176" s="128"/>
      <c r="U176" s="128"/>
      <c r="V176" s="128"/>
      <c r="W176" s="128"/>
      <c r="X176" s="128"/>
    </row>
    <row r="177" spans="1:24" ht="36">
      <c r="A177" s="118" t="s">
        <v>435</v>
      </c>
      <c r="B177" s="119" t="s">
        <v>1046</v>
      </c>
      <c r="C177" s="119" t="s">
        <v>862</v>
      </c>
      <c r="D177" s="118"/>
      <c r="E177" s="120" t="s">
        <v>1047</v>
      </c>
      <c r="F177" s="121">
        <v>4</v>
      </c>
      <c r="G177" s="122">
        <v>2</v>
      </c>
      <c r="H177" s="123">
        <f t="shared" si="7"/>
        <v>5</v>
      </c>
      <c r="I177" s="124" t="s">
        <v>1048</v>
      </c>
      <c r="J177" s="125">
        <v>3</v>
      </c>
      <c r="K177" s="122">
        <v>2</v>
      </c>
      <c r="L177" s="111">
        <f t="shared" si="8"/>
        <v>4</v>
      </c>
      <c r="M177" s="124" t="s">
        <v>1049</v>
      </c>
      <c r="N177" s="111">
        <v>4</v>
      </c>
      <c r="O177" s="111" t="s">
        <v>608</v>
      </c>
      <c r="P177" s="136"/>
      <c r="Q177" s="128"/>
      <c r="R177" s="128"/>
      <c r="S177" s="128"/>
      <c r="T177" s="128"/>
      <c r="U177" s="128"/>
      <c r="V177" s="128"/>
      <c r="W177" s="128"/>
      <c r="X177" s="128"/>
    </row>
    <row r="178" spans="1:24" ht="36">
      <c r="A178" s="118" t="s">
        <v>450</v>
      </c>
      <c r="B178" s="119" t="s">
        <v>1050</v>
      </c>
      <c r="C178" s="119" t="s">
        <v>1051</v>
      </c>
      <c r="D178" s="118"/>
      <c r="E178" s="129"/>
      <c r="F178" s="121">
        <v>2</v>
      </c>
      <c r="G178" s="122">
        <v>2</v>
      </c>
      <c r="H178" s="123">
        <f t="shared" si="7"/>
        <v>3</v>
      </c>
      <c r="I178" s="124" t="s">
        <v>1052</v>
      </c>
      <c r="J178" s="125">
        <v>4</v>
      </c>
      <c r="K178" s="122">
        <v>1</v>
      </c>
      <c r="L178" s="111">
        <f t="shared" si="8"/>
        <v>4</v>
      </c>
      <c r="M178" s="124" t="s">
        <v>1053</v>
      </c>
      <c r="N178" s="111">
        <v>4</v>
      </c>
      <c r="O178" s="111" t="s">
        <v>608</v>
      </c>
      <c r="P178" s="136"/>
      <c r="Q178" s="128"/>
      <c r="R178" s="128"/>
      <c r="S178" s="128"/>
      <c r="T178" s="128"/>
      <c r="U178" s="128"/>
      <c r="V178" s="128"/>
      <c r="W178" s="128"/>
      <c r="X178" s="128"/>
    </row>
    <row r="179" spans="1:24" ht="36">
      <c r="A179" s="118" t="s">
        <v>435</v>
      </c>
      <c r="B179" s="119" t="s">
        <v>1054</v>
      </c>
      <c r="C179" s="119" t="s">
        <v>1055</v>
      </c>
      <c r="D179" s="134"/>
      <c r="E179" s="120" t="s">
        <v>1056</v>
      </c>
      <c r="F179" s="121">
        <v>4</v>
      </c>
      <c r="G179" s="122">
        <v>1</v>
      </c>
      <c r="H179" s="123">
        <f t="shared" si="7"/>
        <v>4</v>
      </c>
      <c r="I179" s="124" t="s">
        <v>1057</v>
      </c>
      <c r="J179" s="125">
        <v>3</v>
      </c>
      <c r="K179" s="122">
        <v>1</v>
      </c>
      <c r="L179" s="111">
        <f t="shared" si="8"/>
        <v>3</v>
      </c>
      <c r="M179" s="124" t="s">
        <v>1058</v>
      </c>
      <c r="N179" s="111">
        <v>4</v>
      </c>
      <c r="O179" s="111" t="s">
        <v>608</v>
      </c>
      <c r="P179" s="136"/>
      <c r="Q179" s="128"/>
      <c r="R179" s="128"/>
      <c r="S179" s="128"/>
      <c r="T179" s="128"/>
      <c r="U179" s="128"/>
      <c r="V179" s="128"/>
      <c r="W179" s="128"/>
      <c r="X179" s="128"/>
    </row>
    <row r="180" spans="1:24" ht="24">
      <c r="A180" s="118" t="s">
        <v>591</v>
      </c>
      <c r="B180" s="119" t="s">
        <v>1059</v>
      </c>
      <c r="C180" s="119" t="s">
        <v>1060</v>
      </c>
      <c r="D180" s="118"/>
      <c r="E180" s="129"/>
      <c r="F180" s="121">
        <v>2</v>
      </c>
      <c r="G180" s="122">
        <v>2</v>
      </c>
      <c r="H180" s="123">
        <f t="shared" si="7"/>
        <v>3</v>
      </c>
      <c r="I180" s="124" t="s">
        <v>1061</v>
      </c>
      <c r="J180" s="125">
        <v>4</v>
      </c>
      <c r="K180" s="122">
        <v>1</v>
      </c>
      <c r="L180" s="111">
        <f t="shared" si="8"/>
        <v>4</v>
      </c>
      <c r="M180" s="124" t="s">
        <v>1062</v>
      </c>
      <c r="N180" s="111">
        <v>4</v>
      </c>
      <c r="O180" s="111" t="s">
        <v>608</v>
      </c>
      <c r="P180" s="136"/>
      <c r="Q180" s="128"/>
      <c r="R180" s="128"/>
      <c r="S180" s="128"/>
      <c r="T180" s="128"/>
      <c r="U180" s="128"/>
      <c r="V180" s="128"/>
      <c r="W180" s="128"/>
      <c r="X180" s="128"/>
    </row>
    <row r="181" spans="1:24" ht="36">
      <c r="A181" s="118" t="s">
        <v>435</v>
      </c>
      <c r="B181" s="119" t="s">
        <v>1063</v>
      </c>
      <c r="C181" s="142"/>
      <c r="D181" s="118"/>
      <c r="E181" s="120" t="s">
        <v>1064</v>
      </c>
      <c r="F181" s="121">
        <v>4</v>
      </c>
      <c r="G181" s="122">
        <v>1</v>
      </c>
      <c r="H181" s="123">
        <f t="shared" si="7"/>
        <v>4</v>
      </c>
      <c r="I181" s="124" t="s">
        <v>1065</v>
      </c>
      <c r="J181" s="137" t="s">
        <v>441</v>
      </c>
      <c r="K181" s="138" t="s">
        <v>441</v>
      </c>
      <c r="L181" s="143" t="s">
        <v>441</v>
      </c>
      <c r="M181" s="124" t="s">
        <v>515</v>
      </c>
      <c r="N181" s="111">
        <v>4</v>
      </c>
      <c r="O181" s="111" t="s">
        <v>608</v>
      </c>
      <c r="P181" s="136"/>
      <c r="Q181" s="128"/>
      <c r="R181" s="128"/>
      <c r="S181" s="128"/>
      <c r="T181" s="128"/>
      <c r="U181" s="128"/>
      <c r="V181" s="128"/>
      <c r="W181" s="128"/>
      <c r="X181" s="128"/>
    </row>
    <row r="182" spans="1:24" ht="36">
      <c r="A182" s="118" t="s">
        <v>435</v>
      </c>
      <c r="B182" s="119" t="s">
        <v>1066</v>
      </c>
      <c r="C182" s="119" t="s">
        <v>1067</v>
      </c>
      <c r="D182" s="134"/>
      <c r="E182" s="120" t="s">
        <v>1068</v>
      </c>
      <c r="F182" s="121">
        <v>2</v>
      </c>
      <c r="G182" s="122">
        <v>2</v>
      </c>
      <c r="H182" s="123">
        <f t="shared" si="7"/>
        <v>3</v>
      </c>
      <c r="I182" s="124" t="s">
        <v>917</v>
      </c>
      <c r="J182" s="125">
        <v>3</v>
      </c>
      <c r="K182" s="122">
        <v>2</v>
      </c>
      <c r="L182" s="111">
        <f t="shared" ref="L182:L234" si="9">(J182+K182)-1</f>
        <v>4</v>
      </c>
      <c r="M182" s="124" t="s">
        <v>1069</v>
      </c>
      <c r="N182" s="111">
        <v>4</v>
      </c>
      <c r="O182" s="111" t="s">
        <v>608</v>
      </c>
      <c r="P182" s="136"/>
      <c r="Q182" s="128"/>
      <c r="R182" s="128"/>
      <c r="S182" s="128"/>
      <c r="T182" s="128"/>
      <c r="U182" s="128"/>
      <c r="V182" s="128"/>
      <c r="W182" s="128"/>
      <c r="X182" s="128"/>
    </row>
    <row r="183" spans="1:24" ht="36">
      <c r="A183" s="118" t="s">
        <v>435</v>
      </c>
      <c r="B183" s="119" t="s">
        <v>1070</v>
      </c>
      <c r="C183" s="119" t="s">
        <v>1071</v>
      </c>
      <c r="D183" s="134"/>
      <c r="E183" s="129"/>
      <c r="F183" s="121">
        <v>3</v>
      </c>
      <c r="G183" s="122">
        <v>2</v>
      </c>
      <c r="H183" s="123">
        <f t="shared" si="7"/>
        <v>4</v>
      </c>
      <c r="I183" s="124" t="s">
        <v>1004</v>
      </c>
      <c r="J183" s="125">
        <v>2</v>
      </c>
      <c r="K183" s="122">
        <v>2</v>
      </c>
      <c r="L183" s="111">
        <f t="shared" si="9"/>
        <v>3</v>
      </c>
      <c r="M183" s="124" t="s">
        <v>1072</v>
      </c>
      <c r="N183" s="111">
        <v>4</v>
      </c>
      <c r="O183" s="111" t="s">
        <v>608</v>
      </c>
      <c r="P183" s="136"/>
      <c r="Q183" s="128"/>
      <c r="R183" s="128"/>
      <c r="S183" s="128"/>
      <c r="T183" s="128"/>
      <c r="U183" s="128"/>
      <c r="V183" s="128"/>
      <c r="W183" s="128"/>
      <c r="X183" s="128"/>
    </row>
    <row r="184" spans="1:24" ht="48">
      <c r="A184" s="118" t="s">
        <v>435</v>
      </c>
      <c r="B184" s="119" t="s">
        <v>1073</v>
      </c>
      <c r="C184" s="119" t="s">
        <v>1074</v>
      </c>
      <c r="D184" s="118"/>
      <c r="E184" s="129"/>
      <c r="F184" s="121">
        <v>2</v>
      </c>
      <c r="G184" s="122">
        <v>2</v>
      </c>
      <c r="H184" s="123">
        <f t="shared" si="7"/>
        <v>3</v>
      </c>
      <c r="I184" s="124" t="s">
        <v>1075</v>
      </c>
      <c r="J184" s="125">
        <v>3</v>
      </c>
      <c r="K184" s="122">
        <v>2</v>
      </c>
      <c r="L184" s="111">
        <f t="shared" si="9"/>
        <v>4</v>
      </c>
      <c r="M184" s="124" t="s">
        <v>723</v>
      </c>
      <c r="N184" s="111">
        <v>4</v>
      </c>
      <c r="O184" s="111" t="s">
        <v>608</v>
      </c>
      <c r="P184" s="136"/>
      <c r="Q184" s="128"/>
      <c r="R184" s="128"/>
      <c r="S184" s="128"/>
      <c r="T184" s="128"/>
      <c r="U184" s="128"/>
      <c r="V184" s="128"/>
      <c r="W184" s="128"/>
      <c r="X184" s="128"/>
    </row>
    <row r="185" spans="1:24" ht="48">
      <c r="A185" s="118" t="s">
        <v>435</v>
      </c>
      <c r="B185" s="119" t="s">
        <v>1076</v>
      </c>
      <c r="C185" s="119" t="s">
        <v>1077</v>
      </c>
      <c r="D185" s="118"/>
      <c r="E185" s="129"/>
      <c r="F185" s="121">
        <v>3</v>
      </c>
      <c r="G185" s="122">
        <v>2</v>
      </c>
      <c r="H185" s="123">
        <f t="shared" si="7"/>
        <v>4</v>
      </c>
      <c r="I185" s="124" t="s">
        <v>1078</v>
      </c>
      <c r="J185" s="125">
        <v>3</v>
      </c>
      <c r="K185" s="122">
        <v>2</v>
      </c>
      <c r="L185" s="111">
        <f t="shared" si="9"/>
        <v>4</v>
      </c>
      <c r="M185" s="124" t="s">
        <v>1079</v>
      </c>
      <c r="N185" s="111">
        <v>4</v>
      </c>
      <c r="O185" s="111" t="s">
        <v>608</v>
      </c>
      <c r="P185" s="136"/>
      <c r="Q185" s="128"/>
      <c r="R185" s="128"/>
      <c r="S185" s="128"/>
      <c r="T185" s="128"/>
      <c r="U185" s="128"/>
      <c r="V185" s="128"/>
      <c r="W185" s="128"/>
      <c r="X185" s="128"/>
    </row>
    <row r="186" spans="1:24" ht="72">
      <c r="A186" s="118" t="s">
        <v>435</v>
      </c>
      <c r="B186" s="119" t="s">
        <v>1080</v>
      </c>
      <c r="C186" s="119" t="s">
        <v>1081</v>
      </c>
      <c r="D186" s="134"/>
      <c r="E186" s="129"/>
      <c r="F186" s="121">
        <v>3</v>
      </c>
      <c r="G186" s="122">
        <v>2</v>
      </c>
      <c r="H186" s="123">
        <f t="shared" si="7"/>
        <v>4</v>
      </c>
      <c r="I186" s="124" t="s">
        <v>1082</v>
      </c>
      <c r="J186" s="125">
        <v>2</v>
      </c>
      <c r="K186" s="122">
        <v>2</v>
      </c>
      <c r="L186" s="111">
        <f t="shared" si="9"/>
        <v>3</v>
      </c>
      <c r="M186" s="124" t="s">
        <v>1083</v>
      </c>
      <c r="N186" s="111">
        <v>4</v>
      </c>
      <c r="O186" s="111" t="s">
        <v>608</v>
      </c>
      <c r="P186" s="136"/>
      <c r="Q186" s="128"/>
      <c r="R186" s="128"/>
      <c r="S186" s="128"/>
      <c r="T186" s="128"/>
      <c r="U186" s="128"/>
      <c r="V186" s="128"/>
      <c r="W186" s="128"/>
      <c r="X186" s="128"/>
    </row>
    <row r="187" spans="1:24" ht="36">
      <c r="A187" s="118" t="s">
        <v>435</v>
      </c>
      <c r="B187" s="119" t="s">
        <v>1084</v>
      </c>
      <c r="C187" s="119" t="s">
        <v>1085</v>
      </c>
      <c r="D187" s="118"/>
      <c r="E187" s="129"/>
      <c r="F187" s="121">
        <v>3</v>
      </c>
      <c r="G187" s="122">
        <v>2</v>
      </c>
      <c r="H187" s="123">
        <f t="shared" si="7"/>
        <v>4</v>
      </c>
      <c r="I187" s="124" t="s">
        <v>1086</v>
      </c>
      <c r="J187" s="125">
        <v>3</v>
      </c>
      <c r="K187" s="122">
        <v>1</v>
      </c>
      <c r="L187" s="111">
        <f t="shared" si="9"/>
        <v>3</v>
      </c>
      <c r="M187" s="124" t="s">
        <v>1087</v>
      </c>
      <c r="N187" s="111">
        <v>4</v>
      </c>
      <c r="O187" s="111" t="s">
        <v>608</v>
      </c>
      <c r="P187" s="136"/>
      <c r="Q187" s="128"/>
      <c r="R187" s="128"/>
      <c r="S187" s="128"/>
      <c r="T187" s="128"/>
      <c r="U187" s="128"/>
      <c r="V187" s="128"/>
      <c r="W187" s="128"/>
      <c r="X187" s="128"/>
    </row>
    <row r="188" spans="1:24" ht="24">
      <c r="A188" s="118" t="s">
        <v>435</v>
      </c>
      <c r="B188" s="119" t="s">
        <v>1088</v>
      </c>
      <c r="C188" s="119" t="s">
        <v>1089</v>
      </c>
      <c r="D188" s="134"/>
      <c r="E188" s="120" t="s">
        <v>1090</v>
      </c>
      <c r="F188" s="121">
        <v>2</v>
      </c>
      <c r="G188" s="122">
        <v>2</v>
      </c>
      <c r="H188" s="123">
        <f t="shared" si="7"/>
        <v>3</v>
      </c>
      <c r="I188" s="124" t="s">
        <v>482</v>
      </c>
      <c r="J188" s="125">
        <v>3</v>
      </c>
      <c r="K188" s="122">
        <v>2</v>
      </c>
      <c r="L188" s="111">
        <f t="shared" si="9"/>
        <v>4</v>
      </c>
      <c r="M188" s="124" t="s">
        <v>895</v>
      </c>
      <c r="N188" s="111">
        <v>4</v>
      </c>
      <c r="O188" s="111" t="s">
        <v>608</v>
      </c>
      <c r="P188" s="136"/>
      <c r="Q188" s="128"/>
      <c r="R188" s="128"/>
      <c r="S188" s="128"/>
      <c r="T188" s="128"/>
      <c r="U188" s="128"/>
      <c r="V188" s="128"/>
      <c r="W188" s="128"/>
      <c r="X188" s="128"/>
    </row>
    <row r="189" spans="1:24" ht="36">
      <c r="A189" s="118" t="s">
        <v>435</v>
      </c>
      <c r="B189" s="119" t="s">
        <v>1091</v>
      </c>
      <c r="C189" s="119" t="s">
        <v>1092</v>
      </c>
      <c r="D189" s="118"/>
      <c r="E189" s="120" t="s">
        <v>1093</v>
      </c>
      <c r="F189" s="121">
        <v>2</v>
      </c>
      <c r="G189" s="122">
        <v>2</v>
      </c>
      <c r="H189" s="123">
        <f t="shared" si="7"/>
        <v>3</v>
      </c>
      <c r="I189" s="124" t="s">
        <v>671</v>
      </c>
      <c r="J189" s="125">
        <v>3</v>
      </c>
      <c r="K189" s="122">
        <v>2</v>
      </c>
      <c r="L189" s="111">
        <f t="shared" si="9"/>
        <v>4</v>
      </c>
      <c r="M189" s="124" t="s">
        <v>675</v>
      </c>
      <c r="N189" s="111">
        <v>4</v>
      </c>
      <c r="O189" s="111" t="s">
        <v>608</v>
      </c>
      <c r="P189" s="136"/>
      <c r="Q189" s="128"/>
      <c r="R189" s="128"/>
      <c r="S189" s="128"/>
      <c r="T189" s="128"/>
      <c r="U189" s="128"/>
      <c r="V189" s="128"/>
      <c r="W189" s="128"/>
      <c r="X189" s="128"/>
    </row>
    <row r="190" spans="1:24" ht="36">
      <c r="A190" s="118" t="s">
        <v>435</v>
      </c>
      <c r="B190" s="119" t="s">
        <v>1094</v>
      </c>
      <c r="C190" s="119" t="s">
        <v>1092</v>
      </c>
      <c r="D190" s="118"/>
      <c r="E190" s="120" t="s">
        <v>1095</v>
      </c>
      <c r="F190" s="121">
        <v>2</v>
      </c>
      <c r="G190" s="122">
        <v>2</v>
      </c>
      <c r="H190" s="123">
        <f t="shared" si="7"/>
        <v>3</v>
      </c>
      <c r="I190" s="124" t="s">
        <v>671</v>
      </c>
      <c r="J190" s="125">
        <v>3</v>
      </c>
      <c r="K190" s="122">
        <v>2</v>
      </c>
      <c r="L190" s="111">
        <f t="shared" si="9"/>
        <v>4</v>
      </c>
      <c r="M190" s="124" t="s">
        <v>1096</v>
      </c>
      <c r="N190" s="111">
        <v>4</v>
      </c>
      <c r="O190" s="111" t="s">
        <v>608</v>
      </c>
      <c r="P190" s="136"/>
      <c r="Q190" s="128"/>
      <c r="R190" s="128"/>
      <c r="S190" s="128"/>
      <c r="T190" s="128"/>
      <c r="U190" s="128"/>
      <c r="V190" s="128"/>
      <c r="W190" s="128"/>
      <c r="X190" s="128"/>
    </row>
    <row r="191" spans="1:24" ht="36">
      <c r="A191" s="118" t="s">
        <v>435</v>
      </c>
      <c r="B191" s="119" t="s">
        <v>1097</v>
      </c>
      <c r="C191" s="119" t="s">
        <v>1092</v>
      </c>
      <c r="D191" s="118"/>
      <c r="E191" s="120" t="s">
        <v>1098</v>
      </c>
      <c r="F191" s="121">
        <v>2</v>
      </c>
      <c r="G191" s="122">
        <v>2</v>
      </c>
      <c r="H191" s="123">
        <f t="shared" si="7"/>
        <v>3</v>
      </c>
      <c r="I191" s="124" t="s">
        <v>671</v>
      </c>
      <c r="J191" s="125">
        <v>3</v>
      </c>
      <c r="K191" s="122">
        <v>2</v>
      </c>
      <c r="L191" s="111">
        <f t="shared" si="9"/>
        <v>4</v>
      </c>
      <c r="M191" s="124" t="s">
        <v>1099</v>
      </c>
      <c r="N191" s="111">
        <v>4</v>
      </c>
      <c r="O191" s="111" t="s">
        <v>608</v>
      </c>
      <c r="P191" s="136"/>
      <c r="Q191" s="128"/>
      <c r="R191" s="128"/>
      <c r="S191" s="128"/>
      <c r="T191" s="128"/>
      <c r="U191" s="128"/>
      <c r="V191" s="128"/>
      <c r="W191" s="128"/>
      <c r="X191" s="128"/>
    </row>
    <row r="192" spans="1:24" ht="24">
      <c r="A192" s="118" t="s">
        <v>435</v>
      </c>
      <c r="B192" s="119" t="s">
        <v>1100</v>
      </c>
      <c r="C192" s="119" t="s">
        <v>1101</v>
      </c>
      <c r="D192" s="134"/>
      <c r="E192" s="120" t="s">
        <v>1102</v>
      </c>
      <c r="F192" s="121">
        <v>2</v>
      </c>
      <c r="G192" s="122">
        <v>2</v>
      </c>
      <c r="H192" s="123">
        <f t="shared" si="7"/>
        <v>3</v>
      </c>
      <c r="I192" s="124" t="s">
        <v>709</v>
      </c>
      <c r="J192" s="125">
        <v>3</v>
      </c>
      <c r="K192" s="122">
        <v>2</v>
      </c>
      <c r="L192" s="111">
        <f t="shared" si="9"/>
        <v>4</v>
      </c>
      <c r="M192" s="124" t="s">
        <v>1103</v>
      </c>
      <c r="N192" s="111">
        <v>4</v>
      </c>
      <c r="O192" s="111" t="s">
        <v>608</v>
      </c>
      <c r="P192" s="136"/>
      <c r="Q192" s="128"/>
      <c r="R192" s="128"/>
      <c r="S192" s="128"/>
      <c r="T192" s="128"/>
      <c r="U192" s="128"/>
      <c r="V192" s="128"/>
      <c r="W192" s="128"/>
      <c r="X192" s="128"/>
    </row>
    <row r="193" spans="1:24" ht="36">
      <c r="A193" s="118" t="s">
        <v>435</v>
      </c>
      <c r="B193" s="119" t="s">
        <v>1104</v>
      </c>
      <c r="C193" s="119" t="s">
        <v>1105</v>
      </c>
      <c r="D193" s="118"/>
      <c r="E193" s="120" t="s">
        <v>1090</v>
      </c>
      <c r="F193" s="121">
        <v>1</v>
      </c>
      <c r="G193" s="122">
        <v>2</v>
      </c>
      <c r="H193" s="123">
        <f t="shared" si="7"/>
        <v>2</v>
      </c>
      <c r="I193" s="124" t="s">
        <v>1106</v>
      </c>
      <c r="J193" s="125">
        <v>3</v>
      </c>
      <c r="K193" s="122">
        <v>2</v>
      </c>
      <c r="L193" s="111">
        <f t="shared" si="9"/>
        <v>4</v>
      </c>
      <c r="M193" s="124" t="s">
        <v>895</v>
      </c>
      <c r="N193" s="111">
        <v>4</v>
      </c>
      <c r="O193" s="111" t="s">
        <v>608</v>
      </c>
      <c r="P193" s="136"/>
      <c r="Q193" s="128"/>
      <c r="R193" s="128"/>
      <c r="S193" s="128"/>
      <c r="T193" s="128"/>
      <c r="U193" s="128"/>
      <c r="V193" s="128"/>
      <c r="W193" s="128"/>
      <c r="X193" s="128"/>
    </row>
    <row r="194" spans="1:24" ht="36">
      <c r="A194" s="118" t="s">
        <v>435</v>
      </c>
      <c r="B194" s="119" t="s">
        <v>1107</v>
      </c>
      <c r="C194" s="119" t="s">
        <v>1108</v>
      </c>
      <c r="D194" s="134"/>
      <c r="E194" s="129"/>
      <c r="F194" s="121">
        <v>3</v>
      </c>
      <c r="G194" s="122">
        <v>2</v>
      </c>
      <c r="H194" s="123">
        <f t="shared" si="7"/>
        <v>4</v>
      </c>
      <c r="I194" s="124" t="s">
        <v>1109</v>
      </c>
      <c r="J194" s="125">
        <v>3</v>
      </c>
      <c r="K194" s="122">
        <v>2</v>
      </c>
      <c r="L194" s="111">
        <f t="shared" si="9"/>
        <v>4</v>
      </c>
      <c r="M194" s="124" t="s">
        <v>1110</v>
      </c>
      <c r="N194" s="111">
        <v>4</v>
      </c>
      <c r="O194" s="111" t="s">
        <v>608</v>
      </c>
      <c r="P194" s="136"/>
      <c r="Q194" s="128"/>
      <c r="R194" s="128"/>
      <c r="S194" s="128"/>
      <c r="T194" s="128"/>
      <c r="U194" s="128"/>
      <c r="V194" s="128"/>
      <c r="W194" s="128"/>
      <c r="X194" s="128"/>
    </row>
    <row r="195" spans="1:24" ht="24">
      <c r="A195" s="118" t="s">
        <v>435</v>
      </c>
      <c r="B195" s="119" t="s">
        <v>1111</v>
      </c>
      <c r="C195" s="119" t="s">
        <v>1112</v>
      </c>
      <c r="D195" s="134"/>
      <c r="E195" s="129"/>
      <c r="F195" s="121">
        <v>2</v>
      </c>
      <c r="G195" s="122">
        <v>2</v>
      </c>
      <c r="H195" s="123">
        <f t="shared" si="7"/>
        <v>3</v>
      </c>
      <c r="I195" s="124" t="s">
        <v>1113</v>
      </c>
      <c r="J195" s="125">
        <v>3</v>
      </c>
      <c r="K195" s="122">
        <v>2</v>
      </c>
      <c r="L195" s="111">
        <f t="shared" si="9"/>
        <v>4</v>
      </c>
      <c r="M195" s="124" t="s">
        <v>1114</v>
      </c>
      <c r="N195" s="111">
        <v>4</v>
      </c>
      <c r="O195" s="111" t="s">
        <v>608</v>
      </c>
      <c r="P195" s="136"/>
      <c r="Q195" s="128"/>
      <c r="R195" s="128"/>
      <c r="S195" s="128"/>
      <c r="T195" s="128"/>
      <c r="U195" s="128"/>
      <c r="V195" s="128"/>
      <c r="W195" s="128"/>
      <c r="X195" s="128"/>
    </row>
    <row r="196" spans="1:24" ht="36">
      <c r="A196" s="118" t="s">
        <v>435</v>
      </c>
      <c r="B196" s="119" t="s">
        <v>1115</v>
      </c>
      <c r="C196" s="119" t="s">
        <v>1116</v>
      </c>
      <c r="D196" s="134"/>
      <c r="E196" s="120" t="s">
        <v>1117</v>
      </c>
      <c r="F196" s="121">
        <v>2</v>
      </c>
      <c r="G196" s="122">
        <v>2</v>
      </c>
      <c r="H196" s="123">
        <f t="shared" si="7"/>
        <v>3</v>
      </c>
      <c r="I196" s="124" t="s">
        <v>1118</v>
      </c>
      <c r="J196" s="125">
        <v>3</v>
      </c>
      <c r="K196" s="122">
        <v>2</v>
      </c>
      <c r="L196" s="111">
        <f t="shared" si="9"/>
        <v>4</v>
      </c>
      <c r="M196" s="124" t="s">
        <v>1110</v>
      </c>
      <c r="N196" s="111">
        <v>4</v>
      </c>
      <c r="O196" s="111" t="s">
        <v>608</v>
      </c>
      <c r="P196" s="136"/>
      <c r="Q196" s="128"/>
      <c r="R196" s="128"/>
      <c r="S196" s="128"/>
      <c r="T196" s="128"/>
      <c r="U196" s="128"/>
      <c r="V196" s="128"/>
      <c r="W196" s="128"/>
      <c r="X196" s="128"/>
    </row>
    <row r="197" spans="1:24" ht="36">
      <c r="A197" s="118" t="s">
        <v>435</v>
      </c>
      <c r="B197" s="119" t="s">
        <v>1119</v>
      </c>
      <c r="C197" s="119" t="s">
        <v>1120</v>
      </c>
      <c r="D197" s="118"/>
      <c r="E197" s="120" t="s">
        <v>1121</v>
      </c>
      <c r="F197" s="121">
        <v>2</v>
      </c>
      <c r="G197" s="122">
        <v>2</v>
      </c>
      <c r="H197" s="123">
        <f t="shared" si="7"/>
        <v>3</v>
      </c>
      <c r="I197" s="124" t="s">
        <v>1118</v>
      </c>
      <c r="J197" s="125">
        <v>3</v>
      </c>
      <c r="K197" s="122">
        <v>2</v>
      </c>
      <c r="L197" s="111">
        <f t="shared" si="9"/>
        <v>4</v>
      </c>
      <c r="M197" s="124" t="s">
        <v>1110</v>
      </c>
      <c r="N197" s="111">
        <v>4</v>
      </c>
      <c r="O197" s="111" t="s">
        <v>608</v>
      </c>
      <c r="P197" s="136"/>
      <c r="Q197" s="128"/>
      <c r="R197" s="128"/>
      <c r="S197" s="128"/>
      <c r="T197" s="128"/>
      <c r="U197" s="128"/>
      <c r="V197" s="128"/>
      <c r="W197" s="128"/>
      <c r="X197" s="128"/>
    </row>
    <row r="198" spans="1:24" ht="36">
      <c r="A198" s="118" t="s">
        <v>435</v>
      </c>
      <c r="B198" s="119" t="s">
        <v>1122</v>
      </c>
      <c r="C198" s="119" t="s">
        <v>1123</v>
      </c>
      <c r="D198" s="118"/>
      <c r="E198" s="120" t="s">
        <v>1124</v>
      </c>
      <c r="F198" s="121">
        <v>3</v>
      </c>
      <c r="G198" s="122">
        <v>2</v>
      </c>
      <c r="H198" s="123">
        <f t="shared" si="7"/>
        <v>4</v>
      </c>
      <c r="I198" s="124" t="s">
        <v>1125</v>
      </c>
      <c r="J198" s="125">
        <v>3</v>
      </c>
      <c r="K198" s="122">
        <v>2</v>
      </c>
      <c r="L198" s="111">
        <f t="shared" si="9"/>
        <v>4</v>
      </c>
      <c r="M198" s="124" t="s">
        <v>774</v>
      </c>
      <c r="N198" s="111">
        <v>4</v>
      </c>
      <c r="O198" s="111" t="s">
        <v>608</v>
      </c>
      <c r="P198" s="136"/>
      <c r="Q198" s="128"/>
      <c r="R198" s="128"/>
      <c r="S198" s="128"/>
      <c r="T198" s="128"/>
      <c r="U198" s="128"/>
      <c r="V198" s="128"/>
      <c r="W198" s="128"/>
      <c r="X198" s="128"/>
    </row>
    <row r="199" spans="1:24" ht="48">
      <c r="A199" s="118" t="s">
        <v>435</v>
      </c>
      <c r="B199" s="119" t="s">
        <v>1126</v>
      </c>
      <c r="C199" s="119" t="s">
        <v>1123</v>
      </c>
      <c r="D199" s="134"/>
      <c r="E199" s="129"/>
      <c r="F199" s="121">
        <v>3</v>
      </c>
      <c r="G199" s="122">
        <v>2</v>
      </c>
      <c r="H199" s="123">
        <f t="shared" si="7"/>
        <v>4</v>
      </c>
      <c r="I199" s="124" t="s">
        <v>1127</v>
      </c>
      <c r="J199" s="125">
        <v>3</v>
      </c>
      <c r="K199" s="122">
        <v>2</v>
      </c>
      <c r="L199" s="111">
        <f t="shared" si="9"/>
        <v>4</v>
      </c>
      <c r="M199" s="124" t="s">
        <v>1128</v>
      </c>
      <c r="N199" s="111">
        <v>4</v>
      </c>
      <c r="O199" s="111" t="s">
        <v>608</v>
      </c>
      <c r="P199" s="136"/>
      <c r="Q199" s="128"/>
      <c r="R199" s="128"/>
      <c r="S199" s="128"/>
      <c r="T199" s="128"/>
      <c r="U199" s="128"/>
      <c r="V199" s="128"/>
      <c r="W199" s="128"/>
      <c r="X199" s="128"/>
    </row>
    <row r="200" spans="1:24" ht="36">
      <c r="A200" s="118" t="s">
        <v>435</v>
      </c>
      <c r="B200" s="119" t="s">
        <v>1129</v>
      </c>
      <c r="C200" s="119" t="s">
        <v>1130</v>
      </c>
      <c r="D200" s="118"/>
      <c r="E200" s="120" t="s">
        <v>1131</v>
      </c>
      <c r="F200" s="121">
        <v>2</v>
      </c>
      <c r="G200" s="122">
        <v>2</v>
      </c>
      <c r="H200" s="123">
        <f t="shared" si="7"/>
        <v>3</v>
      </c>
      <c r="I200" s="124" t="s">
        <v>1132</v>
      </c>
      <c r="J200" s="125">
        <v>3</v>
      </c>
      <c r="K200" s="122">
        <v>2</v>
      </c>
      <c r="L200" s="111">
        <f t="shared" si="9"/>
        <v>4</v>
      </c>
      <c r="M200" s="124" t="s">
        <v>921</v>
      </c>
      <c r="N200" s="111">
        <v>4</v>
      </c>
      <c r="O200" s="111" t="s">
        <v>608</v>
      </c>
      <c r="P200" s="136"/>
      <c r="Q200" s="128"/>
      <c r="R200" s="128"/>
      <c r="S200" s="128"/>
      <c r="T200" s="128"/>
      <c r="U200" s="128"/>
      <c r="V200" s="128"/>
      <c r="W200" s="128"/>
      <c r="X200" s="128"/>
    </row>
    <row r="201" spans="1:24" ht="48">
      <c r="A201" s="118" t="s">
        <v>435</v>
      </c>
      <c r="B201" s="119" t="s">
        <v>1133</v>
      </c>
      <c r="C201" s="119" t="s">
        <v>1134</v>
      </c>
      <c r="D201" s="134"/>
      <c r="E201" s="120" t="s">
        <v>1135</v>
      </c>
      <c r="F201" s="121">
        <v>2</v>
      </c>
      <c r="G201" s="122">
        <v>2</v>
      </c>
      <c r="H201" s="123">
        <f t="shared" si="7"/>
        <v>3</v>
      </c>
      <c r="I201" s="124" t="s">
        <v>983</v>
      </c>
      <c r="J201" s="125">
        <v>3</v>
      </c>
      <c r="K201" s="122">
        <v>2</v>
      </c>
      <c r="L201" s="111">
        <f t="shared" si="9"/>
        <v>4</v>
      </c>
      <c r="M201" s="124" t="s">
        <v>1136</v>
      </c>
      <c r="N201" s="111">
        <v>4</v>
      </c>
      <c r="O201" s="111" t="s">
        <v>608</v>
      </c>
      <c r="P201" s="136"/>
      <c r="Q201" s="128"/>
      <c r="R201" s="128"/>
      <c r="S201" s="128"/>
      <c r="T201" s="128"/>
      <c r="U201" s="128"/>
      <c r="V201" s="128"/>
      <c r="W201" s="128"/>
      <c r="X201" s="128"/>
    </row>
    <row r="202" spans="1:24" ht="48">
      <c r="A202" s="118" t="s">
        <v>435</v>
      </c>
      <c r="B202" s="119" t="s">
        <v>1137</v>
      </c>
      <c r="C202" s="119" t="s">
        <v>1138</v>
      </c>
      <c r="D202" s="118"/>
      <c r="E202" s="120" t="s">
        <v>1139</v>
      </c>
      <c r="F202" s="121">
        <v>2</v>
      </c>
      <c r="G202" s="122">
        <v>2</v>
      </c>
      <c r="H202" s="123">
        <f t="shared" si="7"/>
        <v>3</v>
      </c>
      <c r="I202" s="124" t="s">
        <v>920</v>
      </c>
      <c r="J202" s="125">
        <v>3</v>
      </c>
      <c r="K202" s="122">
        <v>2</v>
      </c>
      <c r="L202" s="111">
        <f t="shared" si="9"/>
        <v>4</v>
      </c>
      <c r="M202" s="124" t="s">
        <v>921</v>
      </c>
      <c r="N202" s="111">
        <v>4</v>
      </c>
      <c r="O202" s="111" t="s">
        <v>608</v>
      </c>
      <c r="P202" s="136"/>
      <c r="Q202" s="128"/>
      <c r="R202" s="128"/>
      <c r="S202" s="128"/>
      <c r="T202" s="128"/>
      <c r="U202" s="128"/>
      <c r="V202" s="128"/>
      <c r="W202" s="128"/>
      <c r="X202" s="128"/>
    </row>
    <row r="203" spans="1:24" ht="36">
      <c r="A203" s="118" t="s">
        <v>435</v>
      </c>
      <c r="B203" s="119" t="s">
        <v>1140</v>
      </c>
      <c r="C203" s="119" t="s">
        <v>1067</v>
      </c>
      <c r="D203" s="134"/>
      <c r="E203" s="120" t="s">
        <v>1141</v>
      </c>
      <c r="F203" s="121">
        <v>2</v>
      </c>
      <c r="G203" s="122">
        <v>2</v>
      </c>
      <c r="H203" s="123">
        <f t="shared" si="7"/>
        <v>3</v>
      </c>
      <c r="I203" s="124" t="s">
        <v>947</v>
      </c>
      <c r="J203" s="125">
        <v>3</v>
      </c>
      <c r="K203" s="122">
        <v>2</v>
      </c>
      <c r="L203" s="111">
        <f t="shared" si="9"/>
        <v>4</v>
      </c>
      <c r="M203" s="124" t="s">
        <v>1142</v>
      </c>
      <c r="N203" s="111">
        <v>4</v>
      </c>
      <c r="O203" s="111" t="s">
        <v>608</v>
      </c>
      <c r="P203" s="136"/>
      <c r="Q203" s="128"/>
      <c r="R203" s="128"/>
      <c r="S203" s="128"/>
      <c r="T203" s="128"/>
      <c r="U203" s="128"/>
      <c r="V203" s="128"/>
      <c r="W203" s="128"/>
      <c r="X203" s="128"/>
    </row>
    <row r="204" spans="1:24" ht="36">
      <c r="A204" s="118" t="s">
        <v>435</v>
      </c>
      <c r="B204" s="119" t="s">
        <v>1143</v>
      </c>
      <c r="C204" s="119" t="s">
        <v>1144</v>
      </c>
      <c r="D204" s="118"/>
      <c r="E204" s="120" t="s">
        <v>1145</v>
      </c>
      <c r="F204" s="121">
        <v>2</v>
      </c>
      <c r="G204" s="122">
        <v>2</v>
      </c>
      <c r="H204" s="123">
        <f t="shared" si="7"/>
        <v>3</v>
      </c>
      <c r="I204" s="124" t="s">
        <v>947</v>
      </c>
      <c r="J204" s="125">
        <v>3</v>
      </c>
      <c r="K204" s="122">
        <v>2</v>
      </c>
      <c r="L204" s="111">
        <f t="shared" si="9"/>
        <v>4</v>
      </c>
      <c r="M204" s="124" t="s">
        <v>1146</v>
      </c>
      <c r="N204" s="111">
        <v>4</v>
      </c>
      <c r="O204" s="111" t="s">
        <v>608</v>
      </c>
      <c r="P204" s="136"/>
      <c r="Q204" s="128"/>
      <c r="R204" s="128"/>
      <c r="S204" s="128"/>
      <c r="T204" s="128"/>
      <c r="U204" s="128"/>
      <c r="V204" s="128"/>
      <c r="W204" s="128"/>
      <c r="X204" s="128"/>
    </row>
    <row r="205" spans="1:24" ht="60">
      <c r="A205" s="118" t="s">
        <v>435</v>
      </c>
      <c r="B205" s="119" t="s">
        <v>1147</v>
      </c>
      <c r="C205" s="119" t="s">
        <v>1148</v>
      </c>
      <c r="D205" s="118"/>
      <c r="E205" s="120" t="s">
        <v>1149</v>
      </c>
      <c r="F205" s="121">
        <v>2</v>
      </c>
      <c r="G205" s="122">
        <v>2</v>
      </c>
      <c r="H205" s="123">
        <f t="shared" si="7"/>
        <v>3</v>
      </c>
      <c r="I205" s="124" t="s">
        <v>1150</v>
      </c>
      <c r="J205" s="125">
        <v>3</v>
      </c>
      <c r="K205" s="122">
        <v>2</v>
      </c>
      <c r="L205" s="111">
        <f t="shared" si="9"/>
        <v>4</v>
      </c>
      <c r="M205" s="124" t="s">
        <v>987</v>
      </c>
      <c r="N205" s="111">
        <v>4</v>
      </c>
      <c r="O205" s="111" t="s">
        <v>608</v>
      </c>
      <c r="P205" s="136"/>
      <c r="Q205" s="128"/>
      <c r="R205" s="128"/>
      <c r="S205" s="128"/>
      <c r="T205" s="128"/>
      <c r="U205" s="128"/>
      <c r="V205" s="128"/>
      <c r="W205" s="128"/>
      <c r="X205" s="128"/>
    </row>
    <row r="206" spans="1:24" ht="36">
      <c r="A206" s="118" t="s">
        <v>435</v>
      </c>
      <c r="B206" s="119" t="s">
        <v>1151</v>
      </c>
      <c r="C206" s="119" t="s">
        <v>1092</v>
      </c>
      <c r="D206" s="118"/>
      <c r="E206" s="129"/>
      <c r="F206" s="121">
        <v>2</v>
      </c>
      <c r="G206" s="122">
        <v>2</v>
      </c>
      <c r="H206" s="123">
        <f t="shared" si="7"/>
        <v>3</v>
      </c>
      <c r="I206" s="124" t="s">
        <v>671</v>
      </c>
      <c r="J206" s="125">
        <v>3</v>
      </c>
      <c r="K206" s="122">
        <v>2</v>
      </c>
      <c r="L206" s="111">
        <f t="shared" si="9"/>
        <v>4</v>
      </c>
      <c r="M206" s="124" t="s">
        <v>675</v>
      </c>
      <c r="N206" s="111">
        <v>4</v>
      </c>
      <c r="O206" s="111" t="s">
        <v>608</v>
      </c>
      <c r="P206" s="136"/>
      <c r="Q206" s="128"/>
      <c r="R206" s="128"/>
      <c r="S206" s="128"/>
      <c r="T206" s="128"/>
      <c r="U206" s="128"/>
      <c r="V206" s="128"/>
      <c r="W206" s="128"/>
      <c r="X206" s="128"/>
    </row>
    <row r="207" spans="1:24" ht="36">
      <c r="A207" s="118" t="s">
        <v>435</v>
      </c>
      <c r="B207" s="119" t="s">
        <v>1152</v>
      </c>
      <c r="C207" s="119" t="s">
        <v>1092</v>
      </c>
      <c r="D207" s="118"/>
      <c r="E207" s="129"/>
      <c r="F207" s="121">
        <v>2</v>
      </c>
      <c r="G207" s="122">
        <v>2</v>
      </c>
      <c r="H207" s="123">
        <f t="shared" si="7"/>
        <v>3</v>
      </c>
      <c r="I207" s="124" t="s">
        <v>671</v>
      </c>
      <c r="J207" s="125">
        <v>3</v>
      </c>
      <c r="K207" s="122">
        <v>2</v>
      </c>
      <c r="L207" s="111">
        <f t="shared" si="9"/>
        <v>4</v>
      </c>
      <c r="M207" s="124" t="s">
        <v>1099</v>
      </c>
      <c r="N207" s="111">
        <v>4</v>
      </c>
      <c r="O207" s="111" t="s">
        <v>608</v>
      </c>
      <c r="P207" s="136"/>
      <c r="Q207" s="128"/>
      <c r="R207" s="128"/>
      <c r="S207" s="128"/>
      <c r="T207" s="128"/>
      <c r="U207" s="128"/>
      <c r="V207" s="128"/>
      <c r="W207" s="128"/>
      <c r="X207" s="128"/>
    </row>
    <row r="208" spans="1:24" ht="60">
      <c r="A208" s="118" t="s">
        <v>435</v>
      </c>
      <c r="B208" s="119" t="s">
        <v>1153</v>
      </c>
      <c r="C208" s="119" t="s">
        <v>1154</v>
      </c>
      <c r="D208" s="134"/>
      <c r="E208" s="129"/>
      <c r="F208" s="121">
        <v>2</v>
      </c>
      <c r="G208" s="122">
        <v>2</v>
      </c>
      <c r="H208" s="123">
        <f t="shared" si="7"/>
        <v>3</v>
      </c>
      <c r="I208" s="124" t="s">
        <v>1155</v>
      </c>
      <c r="J208" s="125">
        <v>3</v>
      </c>
      <c r="K208" s="122">
        <v>2</v>
      </c>
      <c r="L208" s="111">
        <f t="shared" si="9"/>
        <v>4</v>
      </c>
      <c r="M208" s="124" t="s">
        <v>561</v>
      </c>
      <c r="N208" s="111">
        <v>4</v>
      </c>
      <c r="O208" s="111" t="s">
        <v>608</v>
      </c>
      <c r="P208" s="136"/>
      <c r="Q208" s="128"/>
      <c r="R208" s="128"/>
      <c r="S208" s="128"/>
      <c r="T208" s="128"/>
      <c r="U208" s="128"/>
      <c r="V208" s="128"/>
      <c r="W208" s="128"/>
      <c r="X208" s="128"/>
    </row>
    <row r="209" spans="1:24" ht="24">
      <c r="A209" s="118" t="s">
        <v>435</v>
      </c>
      <c r="B209" s="119" t="s">
        <v>1156</v>
      </c>
      <c r="C209" s="119" t="s">
        <v>862</v>
      </c>
      <c r="D209" s="118"/>
      <c r="E209" s="120" t="s">
        <v>1157</v>
      </c>
      <c r="F209" s="121">
        <v>2</v>
      </c>
      <c r="G209" s="122">
        <v>2</v>
      </c>
      <c r="H209" s="123">
        <f t="shared" si="7"/>
        <v>3</v>
      </c>
      <c r="I209" s="124" t="s">
        <v>733</v>
      </c>
      <c r="J209" s="125">
        <v>3</v>
      </c>
      <c r="K209" s="122">
        <v>2</v>
      </c>
      <c r="L209" s="111">
        <f t="shared" si="9"/>
        <v>4</v>
      </c>
      <c r="M209" s="124" t="s">
        <v>1158</v>
      </c>
      <c r="N209" s="111">
        <v>4</v>
      </c>
      <c r="O209" s="111" t="s">
        <v>608</v>
      </c>
      <c r="P209" s="136"/>
      <c r="Q209" s="128"/>
      <c r="R209" s="128"/>
      <c r="S209" s="128"/>
      <c r="T209" s="128"/>
      <c r="U209" s="128"/>
      <c r="V209" s="128"/>
      <c r="W209" s="128"/>
      <c r="X209" s="128"/>
    </row>
    <row r="210" spans="1:24" ht="48">
      <c r="A210" s="118" t="s">
        <v>435</v>
      </c>
      <c r="B210" s="119" t="s">
        <v>1159</v>
      </c>
      <c r="C210" s="119" t="s">
        <v>1160</v>
      </c>
      <c r="D210" s="134"/>
      <c r="E210" s="129"/>
      <c r="F210" s="121">
        <v>2</v>
      </c>
      <c r="G210" s="122">
        <v>2</v>
      </c>
      <c r="H210" s="123">
        <f t="shared" si="7"/>
        <v>3</v>
      </c>
      <c r="I210" s="124" t="s">
        <v>1161</v>
      </c>
      <c r="J210" s="125">
        <v>3</v>
      </c>
      <c r="K210" s="122">
        <v>2</v>
      </c>
      <c r="L210" s="111">
        <f t="shared" si="9"/>
        <v>4</v>
      </c>
      <c r="M210" s="124" t="s">
        <v>921</v>
      </c>
      <c r="N210" s="111">
        <v>4</v>
      </c>
      <c r="O210" s="111" t="s">
        <v>608</v>
      </c>
      <c r="P210" s="136"/>
      <c r="Q210" s="128"/>
      <c r="R210" s="128"/>
      <c r="S210" s="128"/>
      <c r="T210" s="128"/>
      <c r="U210" s="128"/>
      <c r="V210" s="128"/>
      <c r="W210" s="128"/>
      <c r="X210" s="128"/>
    </row>
    <row r="211" spans="1:24" ht="36">
      <c r="A211" s="118" t="s">
        <v>435</v>
      </c>
      <c r="B211" s="119" t="s">
        <v>1162</v>
      </c>
      <c r="C211" s="119" t="s">
        <v>1163</v>
      </c>
      <c r="D211" s="134"/>
      <c r="E211" s="129"/>
      <c r="F211" s="121">
        <v>2</v>
      </c>
      <c r="G211" s="122">
        <v>2</v>
      </c>
      <c r="H211" s="123">
        <f t="shared" si="7"/>
        <v>3</v>
      </c>
      <c r="I211" s="124" t="s">
        <v>1164</v>
      </c>
      <c r="J211" s="125">
        <v>3</v>
      </c>
      <c r="K211" s="122">
        <v>2</v>
      </c>
      <c r="L211" s="111">
        <f t="shared" si="9"/>
        <v>4</v>
      </c>
      <c r="M211" s="124" t="s">
        <v>1165</v>
      </c>
      <c r="N211" s="111">
        <v>4</v>
      </c>
      <c r="O211" s="111" t="s">
        <v>608</v>
      </c>
      <c r="P211" s="136"/>
      <c r="Q211" s="128"/>
      <c r="R211" s="128"/>
      <c r="S211" s="128"/>
      <c r="T211" s="128"/>
      <c r="U211" s="128"/>
      <c r="V211" s="128"/>
      <c r="W211" s="128"/>
      <c r="X211" s="128"/>
    </row>
    <row r="212" spans="1:24" ht="60">
      <c r="A212" s="118" t="s">
        <v>435</v>
      </c>
      <c r="B212" s="119" t="s">
        <v>1166</v>
      </c>
      <c r="C212" s="119" t="s">
        <v>1167</v>
      </c>
      <c r="D212" s="134"/>
      <c r="E212" s="129"/>
      <c r="F212" s="121">
        <v>2</v>
      </c>
      <c r="G212" s="122">
        <v>2</v>
      </c>
      <c r="H212" s="123">
        <f t="shared" si="7"/>
        <v>3</v>
      </c>
      <c r="I212" s="124" t="s">
        <v>733</v>
      </c>
      <c r="J212" s="125">
        <v>3</v>
      </c>
      <c r="K212" s="122">
        <v>2</v>
      </c>
      <c r="L212" s="111">
        <f t="shared" si="9"/>
        <v>4</v>
      </c>
      <c r="M212" s="124" t="s">
        <v>1168</v>
      </c>
      <c r="N212" s="111">
        <v>4</v>
      </c>
      <c r="O212" s="111" t="s">
        <v>608</v>
      </c>
      <c r="P212" s="136"/>
      <c r="Q212" s="128"/>
      <c r="R212" s="128"/>
      <c r="S212" s="128"/>
      <c r="T212" s="128"/>
      <c r="U212" s="128"/>
      <c r="V212" s="128"/>
      <c r="W212" s="128"/>
      <c r="X212" s="128"/>
    </row>
    <row r="213" spans="1:24" ht="36">
      <c r="A213" s="118" t="s">
        <v>435</v>
      </c>
      <c r="B213" s="119" t="s">
        <v>1169</v>
      </c>
      <c r="C213" s="119" t="s">
        <v>1170</v>
      </c>
      <c r="D213" s="118"/>
      <c r="E213" s="120" t="s">
        <v>1171</v>
      </c>
      <c r="F213" s="121">
        <v>2</v>
      </c>
      <c r="G213" s="122">
        <v>2</v>
      </c>
      <c r="H213" s="123">
        <f t="shared" si="7"/>
        <v>3</v>
      </c>
      <c r="I213" s="124" t="s">
        <v>957</v>
      </c>
      <c r="J213" s="125">
        <v>3</v>
      </c>
      <c r="K213" s="122">
        <v>2</v>
      </c>
      <c r="L213" s="111">
        <f t="shared" si="9"/>
        <v>4</v>
      </c>
      <c r="M213" s="124" t="s">
        <v>1172</v>
      </c>
      <c r="N213" s="111">
        <v>4</v>
      </c>
      <c r="O213" s="111" t="s">
        <v>608</v>
      </c>
      <c r="P213" s="136"/>
      <c r="Q213" s="128"/>
      <c r="R213" s="128"/>
      <c r="S213" s="128"/>
      <c r="T213" s="128"/>
      <c r="U213" s="128"/>
      <c r="V213" s="128"/>
      <c r="W213" s="128"/>
      <c r="X213" s="128"/>
    </row>
    <row r="214" spans="1:24" ht="36">
      <c r="A214" s="118" t="s">
        <v>435</v>
      </c>
      <c r="B214" s="119" t="s">
        <v>1173</v>
      </c>
      <c r="C214" s="119" t="s">
        <v>1174</v>
      </c>
      <c r="D214" s="134"/>
      <c r="E214" s="120" t="s">
        <v>1175</v>
      </c>
      <c r="F214" s="121">
        <v>2</v>
      </c>
      <c r="G214" s="122">
        <v>2</v>
      </c>
      <c r="H214" s="123">
        <f t="shared" si="7"/>
        <v>3</v>
      </c>
      <c r="I214" s="124" t="s">
        <v>444</v>
      </c>
      <c r="J214" s="125">
        <v>3</v>
      </c>
      <c r="K214" s="122">
        <v>2</v>
      </c>
      <c r="L214" s="111">
        <f t="shared" si="9"/>
        <v>4</v>
      </c>
      <c r="M214" s="124" t="s">
        <v>1176</v>
      </c>
      <c r="N214" s="111">
        <v>4</v>
      </c>
      <c r="O214" s="111" t="s">
        <v>608</v>
      </c>
      <c r="P214" s="136"/>
      <c r="Q214" s="128"/>
      <c r="R214" s="128"/>
      <c r="S214" s="128"/>
      <c r="T214" s="128"/>
      <c r="U214" s="128"/>
      <c r="V214" s="128"/>
      <c r="W214" s="128"/>
      <c r="X214" s="128"/>
    </row>
    <row r="215" spans="1:24" ht="36">
      <c r="A215" s="118" t="s">
        <v>435</v>
      </c>
      <c r="B215" s="119" t="s">
        <v>1177</v>
      </c>
      <c r="C215" s="119" t="s">
        <v>1092</v>
      </c>
      <c r="D215" s="118"/>
      <c r="E215" s="120" t="s">
        <v>1178</v>
      </c>
      <c r="F215" s="121">
        <v>3</v>
      </c>
      <c r="G215" s="122">
        <v>2</v>
      </c>
      <c r="H215" s="123">
        <f t="shared" si="7"/>
        <v>4</v>
      </c>
      <c r="I215" s="124" t="s">
        <v>1179</v>
      </c>
      <c r="J215" s="125">
        <v>3</v>
      </c>
      <c r="K215" s="122">
        <v>2</v>
      </c>
      <c r="L215" s="111">
        <f t="shared" si="9"/>
        <v>4</v>
      </c>
      <c r="M215" s="124" t="s">
        <v>1180</v>
      </c>
      <c r="N215" s="111">
        <v>4</v>
      </c>
      <c r="O215" s="111" t="s">
        <v>608</v>
      </c>
      <c r="P215" s="136"/>
      <c r="Q215" s="128"/>
      <c r="R215" s="128"/>
      <c r="S215" s="128"/>
      <c r="T215" s="128"/>
      <c r="U215" s="128"/>
      <c r="V215" s="128"/>
      <c r="W215" s="128"/>
      <c r="X215" s="128"/>
    </row>
    <row r="216" spans="1:24" ht="36">
      <c r="A216" s="118" t="s">
        <v>435</v>
      </c>
      <c r="B216" s="119" t="s">
        <v>1181</v>
      </c>
      <c r="C216" s="119" t="s">
        <v>1182</v>
      </c>
      <c r="D216" s="134"/>
      <c r="E216" s="129"/>
      <c r="F216" s="121">
        <v>3</v>
      </c>
      <c r="G216" s="122">
        <v>2</v>
      </c>
      <c r="H216" s="123">
        <f t="shared" si="7"/>
        <v>4</v>
      </c>
      <c r="I216" s="124" t="s">
        <v>795</v>
      </c>
      <c r="J216" s="125">
        <v>3</v>
      </c>
      <c r="K216" s="122">
        <v>1</v>
      </c>
      <c r="L216" s="111">
        <f t="shared" si="9"/>
        <v>3</v>
      </c>
      <c r="M216" s="124" t="s">
        <v>1183</v>
      </c>
      <c r="N216" s="111">
        <v>4</v>
      </c>
      <c r="O216" s="111" t="s">
        <v>608</v>
      </c>
      <c r="P216" s="136"/>
      <c r="Q216" s="128"/>
      <c r="R216" s="128"/>
      <c r="S216" s="128"/>
      <c r="T216" s="128"/>
      <c r="U216" s="128"/>
      <c r="V216" s="128"/>
      <c r="W216" s="128"/>
      <c r="X216" s="128"/>
    </row>
    <row r="217" spans="1:24" ht="48">
      <c r="A217" s="118" t="s">
        <v>435</v>
      </c>
      <c r="B217" s="119" t="s">
        <v>1184</v>
      </c>
      <c r="C217" s="119" t="s">
        <v>1185</v>
      </c>
      <c r="D217" s="134"/>
      <c r="E217" s="120" t="s">
        <v>1186</v>
      </c>
      <c r="F217" s="121">
        <v>3</v>
      </c>
      <c r="G217" s="122">
        <v>2</v>
      </c>
      <c r="H217" s="123">
        <f t="shared" si="7"/>
        <v>4</v>
      </c>
      <c r="I217" s="124" t="s">
        <v>1187</v>
      </c>
      <c r="J217" s="125">
        <v>3</v>
      </c>
      <c r="K217" s="122">
        <v>2</v>
      </c>
      <c r="L217" s="111">
        <f t="shared" si="9"/>
        <v>4</v>
      </c>
      <c r="M217" s="124" t="s">
        <v>1188</v>
      </c>
      <c r="N217" s="111">
        <v>4</v>
      </c>
      <c r="O217" s="111" t="s">
        <v>608</v>
      </c>
      <c r="P217" s="136"/>
      <c r="Q217" s="128"/>
      <c r="R217" s="128"/>
      <c r="S217" s="128"/>
      <c r="T217" s="128"/>
      <c r="U217" s="128"/>
      <c r="V217" s="128"/>
      <c r="W217" s="128"/>
      <c r="X217" s="128"/>
    </row>
    <row r="218" spans="1:24" ht="60">
      <c r="A218" s="118" t="s">
        <v>435</v>
      </c>
      <c r="B218" s="119" t="s">
        <v>1189</v>
      </c>
      <c r="C218" s="119" t="s">
        <v>1190</v>
      </c>
      <c r="D218" s="118"/>
      <c r="E218" s="129"/>
      <c r="F218" s="121">
        <v>2</v>
      </c>
      <c r="G218" s="122">
        <v>2</v>
      </c>
      <c r="H218" s="123">
        <f t="shared" si="7"/>
        <v>3</v>
      </c>
      <c r="I218" s="124" t="s">
        <v>1191</v>
      </c>
      <c r="J218" s="125">
        <v>3</v>
      </c>
      <c r="K218" s="122">
        <v>2</v>
      </c>
      <c r="L218" s="111">
        <f t="shared" si="9"/>
        <v>4</v>
      </c>
      <c r="M218" s="124" t="s">
        <v>1192</v>
      </c>
      <c r="N218" s="111">
        <v>4</v>
      </c>
      <c r="O218" s="111" t="s">
        <v>608</v>
      </c>
      <c r="P218" s="136"/>
      <c r="Q218" s="128"/>
      <c r="R218" s="128"/>
      <c r="S218" s="128"/>
      <c r="T218" s="128"/>
      <c r="U218" s="128"/>
      <c r="V218" s="128"/>
      <c r="W218" s="128"/>
      <c r="X218" s="128"/>
    </row>
    <row r="219" spans="1:24" ht="48">
      <c r="A219" s="118" t="s">
        <v>435</v>
      </c>
      <c r="B219" s="119" t="s">
        <v>1193</v>
      </c>
      <c r="C219" s="119" t="s">
        <v>1194</v>
      </c>
      <c r="D219" s="118"/>
      <c r="E219" s="129"/>
      <c r="F219" s="121">
        <v>2</v>
      </c>
      <c r="G219" s="122">
        <v>2</v>
      </c>
      <c r="H219" s="123">
        <f t="shared" si="7"/>
        <v>3</v>
      </c>
      <c r="I219" s="124" t="s">
        <v>1075</v>
      </c>
      <c r="J219" s="125">
        <v>3</v>
      </c>
      <c r="K219" s="122">
        <v>2</v>
      </c>
      <c r="L219" s="111">
        <f t="shared" si="9"/>
        <v>4</v>
      </c>
      <c r="M219" s="124" t="s">
        <v>723</v>
      </c>
      <c r="N219" s="111">
        <v>4</v>
      </c>
      <c r="O219" s="111" t="s">
        <v>608</v>
      </c>
      <c r="P219" s="136"/>
      <c r="Q219" s="128"/>
      <c r="R219" s="128"/>
      <c r="S219" s="128"/>
      <c r="T219" s="128"/>
      <c r="U219" s="128"/>
      <c r="V219" s="128"/>
      <c r="W219" s="128"/>
      <c r="X219" s="128"/>
    </row>
    <row r="220" spans="1:24" ht="36">
      <c r="A220" s="118" t="s">
        <v>435</v>
      </c>
      <c r="B220" s="119" t="s">
        <v>1195</v>
      </c>
      <c r="C220" s="119" t="s">
        <v>1196</v>
      </c>
      <c r="D220" s="134"/>
      <c r="E220" s="129"/>
      <c r="F220" s="121">
        <v>3</v>
      </c>
      <c r="G220" s="122">
        <v>2</v>
      </c>
      <c r="H220" s="123">
        <f t="shared" si="7"/>
        <v>4</v>
      </c>
      <c r="I220" s="124" t="s">
        <v>1197</v>
      </c>
      <c r="J220" s="125">
        <v>3</v>
      </c>
      <c r="K220" s="122">
        <v>2</v>
      </c>
      <c r="L220" s="111">
        <f t="shared" si="9"/>
        <v>4</v>
      </c>
      <c r="M220" s="124" t="s">
        <v>1198</v>
      </c>
      <c r="N220" s="111">
        <v>4</v>
      </c>
      <c r="O220" s="111" t="s">
        <v>608</v>
      </c>
      <c r="P220" s="136"/>
      <c r="Q220" s="128"/>
      <c r="R220" s="128"/>
      <c r="S220" s="128"/>
      <c r="T220" s="128"/>
      <c r="U220" s="128"/>
      <c r="V220" s="128"/>
      <c r="W220" s="128"/>
      <c r="X220" s="128"/>
    </row>
    <row r="221" spans="1:24" ht="36">
      <c r="A221" s="118" t="s">
        <v>435</v>
      </c>
      <c r="B221" s="119" t="s">
        <v>1199</v>
      </c>
      <c r="C221" s="119" t="s">
        <v>1200</v>
      </c>
      <c r="D221" s="134"/>
      <c r="E221" s="120" t="s">
        <v>1201</v>
      </c>
      <c r="F221" s="121">
        <v>3</v>
      </c>
      <c r="G221" s="122">
        <v>2</v>
      </c>
      <c r="H221" s="123">
        <f t="shared" si="7"/>
        <v>4</v>
      </c>
      <c r="I221" s="124" t="s">
        <v>1004</v>
      </c>
      <c r="J221" s="125">
        <v>2</v>
      </c>
      <c r="K221" s="122">
        <v>2</v>
      </c>
      <c r="L221" s="111">
        <f t="shared" si="9"/>
        <v>3</v>
      </c>
      <c r="M221" s="124" t="s">
        <v>1072</v>
      </c>
      <c r="N221" s="111">
        <v>4</v>
      </c>
      <c r="O221" s="111" t="s">
        <v>608</v>
      </c>
      <c r="P221" s="136"/>
      <c r="Q221" s="128"/>
      <c r="R221" s="128"/>
      <c r="S221" s="128"/>
      <c r="T221" s="128"/>
      <c r="U221" s="128"/>
      <c r="V221" s="128"/>
      <c r="W221" s="128"/>
      <c r="X221" s="128"/>
    </row>
    <row r="222" spans="1:24" ht="36">
      <c r="A222" s="118" t="s">
        <v>435</v>
      </c>
      <c r="B222" s="119" t="s">
        <v>1202</v>
      </c>
      <c r="C222" s="119" t="s">
        <v>1203</v>
      </c>
      <c r="D222" s="134"/>
      <c r="E222" s="129"/>
      <c r="F222" s="121">
        <v>2</v>
      </c>
      <c r="G222" s="122">
        <v>2</v>
      </c>
      <c r="H222" s="123">
        <f t="shared" si="7"/>
        <v>3</v>
      </c>
      <c r="I222" s="124" t="s">
        <v>1204</v>
      </c>
      <c r="J222" s="125">
        <v>3</v>
      </c>
      <c r="K222" s="122">
        <v>2</v>
      </c>
      <c r="L222" s="111">
        <f t="shared" si="9"/>
        <v>4</v>
      </c>
      <c r="M222" s="124" t="s">
        <v>1205</v>
      </c>
      <c r="N222" s="111">
        <v>4</v>
      </c>
      <c r="O222" s="111" t="s">
        <v>608</v>
      </c>
      <c r="P222" s="136"/>
      <c r="Q222" s="128"/>
      <c r="R222" s="128"/>
      <c r="S222" s="128"/>
      <c r="T222" s="128"/>
      <c r="U222" s="128"/>
      <c r="V222" s="128"/>
      <c r="W222" s="128"/>
      <c r="X222" s="128"/>
    </row>
    <row r="223" spans="1:24" ht="36">
      <c r="A223" s="118" t="s">
        <v>435</v>
      </c>
      <c r="B223" s="119" t="s">
        <v>1206</v>
      </c>
      <c r="C223" s="119" t="s">
        <v>1207</v>
      </c>
      <c r="D223" s="118"/>
      <c r="E223" s="120" t="s">
        <v>1208</v>
      </c>
      <c r="F223" s="121">
        <v>3</v>
      </c>
      <c r="G223" s="122">
        <v>2</v>
      </c>
      <c r="H223" s="123">
        <f t="shared" si="7"/>
        <v>4</v>
      </c>
      <c r="I223" s="124" t="s">
        <v>1209</v>
      </c>
      <c r="J223" s="125">
        <v>2</v>
      </c>
      <c r="K223" s="122">
        <v>2</v>
      </c>
      <c r="L223" s="111">
        <f t="shared" si="9"/>
        <v>3</v>
      </c>
      <c r="M223" s="124" t="s">
        <v>778</v>
      </c>
      <c r="N223" s="111">
        <v>4</v>
      </c>
      <c r="O223" s="111" t="s">
        <v>608</v>
      </c>
      <c r="P223" s="136"/>
      <c r="Q223" s="128"/>
      <c r="R223" s="128"/>
      <c r="S223" s="128"/>
      <c r="T223" s="128"/>
      <c r="U223" s="128"/>
      <c r="V223" s="128"/>
      <c r="W223" s="128"/>
      <c r="X223" s="128"/>
    </row>
    <row r="224" spans="1:24" ht="60">
      <c r="A224" s="118" t="s">
        <v>435</v>
      </c>
      <c r="B224" s="119" t="s">
        <v>1210</v>
      </c>
      <c r="C224" s="119" t="s">
        <v>1211</v>
      </c>
      <c r="D224" s="118"/>
      <c r="E224" s="129"/>
      <c r="F224" s="121">
        <v>2</v>
      </c>
      <c r="G224" s="122">
        <v>2</v>
      </c>
      <c r="H224" s="123">
        <f t="shared" si="7"/>
        <v>3</v>
      </c>
      <c r="I224" s="124" t="s">
        <v>1191</v>
      </c>
      <c r="J224" s="125">
        <v>3</v>
      </c>
      <c r="K224" s="122">
        <v>2</v>
      </c>
      <c r="L224" s="111">
        <f t="shared" si="9"/>
        <v>4</v>
      </c>
      <c r="M224" s="124" t="s">
        <v>1192</v>
      </c>
      <c r="N224" s="111">
        <v>4</v>
      </c>
      <c r="O224" s="111" t="s">
        <v>608</v>
      </c>
      <c r="P224" s="136"/>
      <c r="Q224" s="128"/>
      <c r="R224" s="128"/>
      <c r="S224" s="128"/>
      <c r="T224" s="128"/>
      <c r="U224" s="128"/>
      <c r="V224" s="128"/>
      <c r="W224" s="128"/>
      <c r="X224" s="128"/>
    </row>
    <row r="225" spans="1:24" ht="60">
      <c r="A225" s="118" t="s">
        <v>435</v>
      </c>
      <c r="B225" s="119" t="s">
        <v>1212</v>
      </c>
      <c r="C225" s="119" t="s">
        <v>1213</v>
      </c>
      <c r="D225" s="134"/>
      <c r="E225" s="129"/>
      <c r="F225" s="121">
        <v>3</v>
      </c>
      <c r="G225" s="122">
        <v>2</v>
      </c>
      <c r="H225" s="123">
        <f t="shared" si="7"/>
        <v>4</v>
      </c>
      <c r="I225" s="124" t="s">
        <v>1214</v>
      </c>
      <c r="J225" s="125">
        <v>3</v>
      </c>
      <c r="K225" s="122">
        <v>2</v>
      </c>
      <c r="L225" s="111">
        <f t="shared" si="9"/>
        <v>4</v>
      </c>
      <c r="M225" s="124" t="s">
        <v>1215</v>
      </c>
      <c r="N225" s="111">
        <v>4</v>
      </c>
      <c r="O225" s="111" t="s">
        <v>608</v>
      </c>
      <c r="P225" s="136"/>
      <c r="Q225" s="128"/>
      <c r="R225" s="128"/>
      <c r="S225" s="128"/>
      <c r="T225" s="128"/>
      <c r="U225" s="128"/>
      <c r="V225" s="128"/>
      <c r="W225" s="128"/>
      <c r="X225" s="128"/>
    </row>
    <row r="226" spans="1:24" ht="48">
      <c r="A226" s="118" t="s">
        <v>435</v>
      </c>
      <c r="B226" s="119" t="s">
        <v>1216</v>
      </c>
      <c r="C226" s="119" t="s">
        <v>1217</v>
      </c>
      <c r="D226" s="134"/>
      <c r="E226" s="129"/>
      <c r="F226" s="121">
        <v>2</v>
      </c>
      <c r="G226" s="122">
        <v>3</v>
      </c>
      <c r="H226" s="123">
        <f t="shared" si="7"/>
        <v>4</v>
      </c>
      <c r="I226" s="124" t="s">
        <v>1218</v>
      </c>
      <c r="J226" s="125">
        <v>3</v>
      </c>
      <c r="K226" s="122">
        <v>2</v>
      </c>
      <c r="L226" s="111">
        <f t="shared" si="9"/>
        <v>4</v>
      </c>
      <c r="M226" s="124" t="s">
        <v>1219</v>
      </c>
      <c r="N226" s="111">
        <v>4</v>
      </c>
      <c r="O226" s="111" t="s">
        <v>608</v>
      </c>
      <c r="P226" s="136"/>
      <c r="Q226" s="128"/>
      <c r="R226" s="128"/>
      <c r="S226" s="128"/>
      <c r="T226" s="128"/>
      <c r="U226" s="128"/>
      <c r="V226" s="128"/>
      <c r="W226" s="128"/>
      <c r="X226" s="128"/>
    </row>
    <row r="227" spans="1:24" ht="36">
      <c r="A227" s="118" t="s">
        <v>435</v>
      </c>
      <c r="B227" s="119" t="s">
        <v>1220</v>
      </c>
      <c r="C227" s="119" t="s">
        <v>1221</v>
      </c>
      <c r="D227" s="134"/>
      <c r="E227" s="120" t="s">
        <v>1222</v>
      </c>
      <c r="F227" s="121">
        <v>2</v>
      </c>
      <c r="G227" s="122">
        <v>2</v>
      </c>
      <c r="H227" s="123">
        <f t="shared" si="7"/>
        <v>3</v>
      </c>
      <c r="I227" s="124" t="s">
        <v>1223</v>
      </c>
      <c r="J227" s="125">
        <v>3</v>
      </c>
      <c r="K227" s="122">
        <v>2</v>
      </c>
      <c r="L227" s="111">
        <f t="shared" si="9"/>
        <v>4</v>
      </c>
      <c r="M227" s="124" t="s">
        <v>1224</v>
      </c>
      <c r="N227" s="111">
        <v>4</v>
      </c>
      <c r="O227" s="111" t="s">
        <v>608</v>
      </c>
      <c r="P227" s="136"/>
      <c r="Q227" s="128"/>
      <c r="R227" s="128"/>
      <c r="S227" s="128"/>
      <c r="T227" s="128"/>
      <c r="U227" s="128"/>
      <c r="V227" s="128"/>
      <c r="W227" s="128"/>
      <c r="X227" s="128"/>
    </row>
    <row r="228" spans="1:24" ht="36">
      <c r="A228" s="118" t="s">
        <v>435</v>
      </c>
      <c r="B228" s="119" t="s">
        <v>1225</v>
      </c>
      <c r="C228" s="142" t="s">
        <v>1226</v>
      </c>
      <c r="D228" s="134"/>
      <c r="E228" s="120" t="s">
        <v>1227</v>
      </c>
      <c r="F228" s="121">
        <v>1</v>
      </c>
      <c r="G228" s="122">
        <v>2</v>
      </c>
      <c r="H228" s="123">
        <f t="shared" si="7"/>
        <v>2</v>
      </c>
      <c r="I228" s="124" t="s">
        <v>1228</v>
      </c>
      <c r="J228" s="125">
        <v>3</v>
      </c>
      <c r="K228" s="122">
        <v>2</v>
      </c>
      <c r="L228" s="111">
        <f t="shared" si="9"/>
        <v>4</v>
      </c>
      <c r="M228" s="124" t="s">
        <v>1229</v>
      </c>
      <c r="N228" s="111">
        <v>4</v>
      </c>
      <c r="O228" s="111" t="s">
        <v>608</v>
      </c>
      <c r="P228" s="136"/>
      <c r="Q228" s="128"/>
      <c r="R228" s="128"/>
      <c r="S228" s="128"/>
      <c r="T228" s="128"/>
      <c r="U228" s="128"/>
      <c r="V228" s="128"/>
      <c r="W228" s="128"/>
      <c r="X228" s="128"/>
    </row>
    <row r="229" spans="1:24" ht="36">
      <c r="A229" s="118" t="s">
        <v>435</v>
      </c>
      <c r="B229" s="119" t="s">
        <v>1230</v>
      </c>
      <c r="C229" s="119" t="s">
        <v>1231</v>
      </c>
      <c r="D229" s="118"/>
      <c r="E229" s="120" t="s">
        <v>1232</v>
      </c>
      <c r="F229" s="121">
        <v>2</v>
      </c>
      <c r="G229" s="122">
        <v>2</v>
      </c>
      <c r="H229" s="123">
        <f t="shared" si="7"/>
        <v>3</v>
      </c>
      <c r="I229" s="124" t="s">
        <v>947</v>
      </c>
      <c r="J229" s="125">
        <v>3</v>
      </c>
      <c r="K229" s="122">
        <v>2</v>
      </c>
      <c r="L229" s="111">
        <f t="shared" si="9"/>
        <v>4</v>
      </c>
      <c r="M229" s="124" t="s">
        <v>921</v>
      </c>
      <c r="N229" s="111">
        <v>4</v>
      </c>
      <c r="O229" s="111" t="s">
        <v>608</v>
      </c>
      <c r="P229" s="136"/>
      <c r="Q229" s="128"/>
      <c r="R229" s="128"/>
      <c r="S229" s="128"/>
      <c r="T229" s="128"/>
      <c r="U229" s="128"/>
      <c r="V229" s="128"/>
      <c r="W229" s="128"/>
      <c r="X229" s="128"/>
    </row>
    <row r="230" spans="1:24" ht="36">
      <c r="A230" s="118" t="s">
        <v>435</v>
      </c>
      <c r="B230" s="119" t="s">
        <v>1233</v>
      </c>
      <c r="C230" s="119" t="s">
        <v>1234</v>
      </c>
      <c r="D230" s="134"/>
      <c r="E230" s="120" t="s">
        <v>1235</v>
      </c>
      <c r="F230" s="121">
        <v>2</v>
      </c>
      <c r="G230" s="122">
        <v>2</v>
      </c>
      <c r="H230" s="123">
        <f t="shared" ref="H230:H293" si="10">(F230+G230)-1</f>
        <v>3</v>
      </c>
      <c r="I230" s="124" t="s">
        <v>1228</v>
      </c>
      <c r="J230" s="125">
        <v>3</v>
      </c>
      <c r="K230" s="122">
        <v>2</v>
      </c>
      <c r="L230" s="111">
        <f t="shared" si="9"/>
        <v>4</v>
      </c>
      <c r="M230" s="124" t="s">
        <v>1236</v>
      </c>
      <c r="N230" s="111">
        <v>4</v>
      </c>
      <c r="O230" s="111" t="s">
        <v>608</v>
      </c>
      <c r="P230" s="136"/>
      <c r="Q230" s="128"/>
      <c r="R230" s="128"/>
      <c r="S230" s="128"/>
      <c r="T230" s="128"/>
      <c r="U230" s="128"/>
      <c r="V230" s="128"/>
      <c r="W230" s="128"/>
      <c r="X230" s="128"/>
    </row>
    <row r="231" spans="1:24" ht="24">
      <c r="A231" s="118" t="s">
        <v>435</v>
      </c>
      <c r="B231" s="119" t="s">
        <v>1237</v>
      </c>
      <c r="C231" s="119" t="s">
        <v>1067</v>
      </c>
      <c r="D231" s="134"/>
      <c r="E231" s="120" t="s">
        <v>1238</v>
      </c>
      <c r="F231" s="121">
        <v>2</v>
      </c>
      <c r="G231" s="122">
        <v>2</v>
      </c>
      <c r="H231" s="123">
        <f t="shared" si="10"/>
        <v>3</v>
      </c>
      <c r="I231" s="124" t="s">
        <v>733</v>
      </c>
      <c r="J231" s="125">
        <v>3</v>
      </c>
      <c r="K231" s="122">
        <v>2</v>
      </c>
      <c r="L231" s="111">
        <f t="shared" si="9"/>
        <v>4</v>
      </c>
      <c r="M231" s="124" t="s">
        <v>895</v>
      </c>
      <c r="N231" s="111">
        <v>4</v>
      </c>
      <c r="O231" s="111" t="s">
        <v>608</v>
      </c>
      <c r="P231" s="136"/>
      <c r="Q231" s="128"/>
      <c r="R231" s="128"/>
      <c r="S231" s="128"/>
      <c r="T231" s="128"/>
      <c r="U231" s="128"/>
      <c r="V231" s="128"/>
      <c r="W231" s="128"/>
      <c r="X231" s="128"/>
    </row>
    <row r="232" spans="1:24" ht="48">
      <c r="A232" s="118" t="s">
        <v>435</v>
      </c>
      <c r="B232" s="119" t="s">
        <v>1239</v>
      </c>
      <c r="C232" s="119" t="s">
        <v>1240</v>
      </c>
      <c r="D232" s="134"/>
      <c r="E232" s="129"/>
      <c r="F232" s="121">
        <v>2</v>
      </c>
      <c r="G232" s="122">
        <v>2</v>
      </c>
      <c r="H232" s="123">
        <f t="shared" si="10"/>
        <v>3</v>
      </c>
      <c r="I232" s="124" t="s">
        <v>752</v>
      </c>
      <c r="J232" s="125">
        <v>3</v>
      </c>
      <c r="K232" s="122">
        <v>2</v>
      </c>
      <c r="L232" s="111">
        <f t="shared" si="9"/>
        <v>4</v>
      </c>
      <c r="M232" s="124" t="s">
        <v>774</v>
      </c>
      <c r="N232" s="111">
        <v>4</v>
      </c>
      <c r="O232" s="111" t="s">
        <v>608</v>
      </c>
      <c r="P232" s="136"/>
      <c r="Q232" s="128"/>
      <c r="R232" s="128"/>
      <c r="S232" s="128"/>
      <c r="T232" s="128"/>
      <c r="U232" s="128"/>
      <c r="V232" s="128"/>
      <c r="W232" s="128"/>
      <c r="X232" s="128"/>
    </row>
    <row r="233" spans="1:24" ht="36">
      <c r="A233" s="118" t="s">
        <v>591</v>
      </c>
      <c r="B233" s="119" t="s">
        <v>1241</v>
      </c>
      <c r="C233" s="119" t="s">
        <v>1242</v>
      </c>
      <c r="D233" s="118"/>
      <c r="E233" s="129"/>
      <c r="F233" s="121">
        <v>2</v>
      </c>
      <c r="G233" s="122">
        <v>2</v>
      </c>
      <c r="H233" s="123">
        <f t="shared" si="10"/>
        <v>3</v>
      </c>
      <c r="I233" s="124" t="s">
        <v>1243</v>
      </c>
      <c r="J233" s="125">
        <v>3</v>
      </c>
      <c r="K233" s="122">
        <v>2</v>
      </c>
      <c r="L233" s="111">
        <f t="shared" si="9"/>
        <v>4</v>
      </c>
      <c r="M233" s="124" t="s">
        <v>1244</v>
      </c>
      <c r="N233" s="111">
        <v>4</v>
      </c>
      <c r="O233" s="111" t="s">
        <v>608</v>
      </c>
      <c r="P233" s="136"/>
      <c r="Q233" s="128"/>
      <c r="R233" s="128"/>
      <c r="S233" s="128"/>
      <c r="T233" s="128"/>
      <c r="U233" s="128"/>
      <c r="V233" s="128"/>
      <c r="W233" s="128"/>
      <c r="X233" s="128"/>
    </row>
    <row r="234" spans="1:24" ht="48">
      <c r="A234" s="118" t="s">
        <v>591</v>
      </c>
      <c r="B234" s="119" t="s">
        <v>1245</v>
      </c>
      <c r="C234" s="119" t="s">
        <v>1246</v>
      </c>
      <c r="D234" s="118"/>
      <c r="E234" s="129"/>
      <c r="F234" s="121">
        <v>3</v>
      </c>
      <c r="G234" s="122">
        <v>2</v>
      </c>
      <c r="H234" s="123">
        <f t="shared" si="10"/>
        <v>4</v>
      </c>
      <c r="I234" s="124" t="s">
        <v>1247</v>
      </c>
      <c r="J234" s="125">
        <v>3</v>
      </c>
      <c r="K234" s="122">
        <v>2</v>
      </c>
      <c r="L234" s="111">
        <f t="shared" si="9"/>
        <v>4</v>
      </c>
      <c r="M234" s="124" t="s">
        <v>1248</v>
      </c>
      <c r="N234" s="111">
        <v>4</v>
      </c>
      <c r="O234" s="111" t="s">
        <v>608</v>
      </c>
      <c r="P234" s="136"/>
      <c r="Q234" s="128"/>
      <c r="R234" s="128"/>
      <c r="S234" s="128"/>
      <c r="T234" s="128"/>
      <c r="U234" s="128"/>
      <c r="V234" s="128"/>
      <c r="W234" s="128"/>
      <c r="X234" s="128"/>
    </row>
    <row r="235" spans="1:24" ht="36">
      <c r="A235" s="118" t="s">
        <v>450</v>
      </c>
      <c r="B235" s="119" t="s">
        <v>1249</v>
      </c>
      <c r="C235" s="119" t="s">
        <v>1250</v>
      </c>
      <c r="D235" s="118"/>
      <c r="E235" s="129"/>
      <c r="F235" s="121">
        <v>3</v>
      </c>
      <c r="G235" s="122">
        <v>2</v>
      </c>
      <c r="H235" s="123">
        <f t="shared" si="10"/>
        <v>4</v>
      </c>
      <c r="I235" s="124" t="s">
        <v>1251</v>
      </c>
      <c r="J235" s="137" t="s">
        <v>441</v>
      </c>
      <c r="K235" s="138" t="s">
        <v>441</v>
      </c>
      <c r="L235" s="143" t="s">
        <v>441</v>
      </c>
      <c r="M235" s="124" t="s">
        <v>515</v>
      </c>
      <c r="N235" s="111">
        <v>4</v>
      </c>
      <c r="O235" s="111" t="s">
        <v>608</v>
      </c>
      <c r="P235" s="136"/>
      <c r="Q235" s="128"/>
      <c r="R235" s="128"/>
      <c r="S235" s="128"/>
      <c r="T235" s="128"/>
      <c r="U235" s="128"/>
      <c r="V235" s="128"/>
      <c r="W235" s="128"/>
      <c r="X235" s="128"/>
    </row>
    <row r="236" spans="1:24" ht="24">
      <c r="A236" s="118" t="s">
        <v>435</v>
      </c>
      <c r="B236" s="119" t="s">
        <v>1252</v>
      </c>
      <c r="C236" s="119" t="s">
        <v>1253</v>
      </c>
      <c r="D236" s="134"/>
      <c r="E236" s="129"/>
      <c r="F236" s="121">
        <v>3</v>
      </c>
      <c r="G236" s="122">
        <v>2</v>
      </c>
      <c r="H236" s="123">
        <f t="shared" si="10"/>
        <v>4</v>
      </c>
      <c r="I236" s="124" t="s">
        <v>952</v>
      </c>
      <c r="J236" s="137" t="s">
        <v>441</v>
      </c>
      <c r="K236" s="138" t="s">
        <v>441</v>
      </c>
      <c r="L236" s="143" t="s">
        <v>441</v>
      </c>
      <c r="M236" s="124" t="s">
        <v>515</v>
      </c>
      <c r="N236" s="111">
        <v>4</v>
      </c>
      <c r="O236" s="111" t="s">
        <v>608</v>
      </c>
      <c r="P236" s="136"/>
      <c r="Q236" s="128"/>
      <c r="R236" s="128"/>
      <c r="S236" s="128"/>
      <c r="T236" s="128"/>
      <c r="U236" s="128"/>
      <c r="V236" s="128"/>
      <c r="W236" s="128"/>
      <c r="X236" s="128"/>
    </row>
    <row r="237" spans="1:24" ht="36">
      <c r="A237" s="118" t="s">
        <v>435</v>
      </c>
      <c r="B237" s="119" t="s">
        <v>1254</v>
      </c>
      <c r="C237" s="119" t="s">
        <v>1255</v>
      </c>
      <c r="D237" s="134"/>
      <c r="E237" s="129"/>
      <c r="F237" s="121">
        <v>3</v>
      </c>
      <c r="G237" s="122">
        <v>2</v>
      </c>
      <c r="H237" s="123">
        <f t="shared" si="10"/>
        <v>4</v>
      </c>
      <c r="I237" s="124" t="s">
        <v>1256</v>
      </c>
      <c r="J237" s="137" t="s">
        <v>441</v>
      </c>
      <c r="K237" s="138" t="s">
        <v>441</v>
      </c>
      <c r="L237" s="143" t="s">
        <v>441</v>
      </c>
      <c r="M237" s="124" t="s">
        <v>515</v>
      </c>
      <c r="N237" s="111">
        <v>4</v>
      </c>
      <c r="O237" s="111" t="s">
        <v>608</v>
      </c>
      <c r="P237" s="136"/>
      <c r="Q237" s="128"/>
      <c r="R237" s="128"/>
      <c r="S237" s="128"/>
      <c r="T237" s="128"/>
      <c r="U237" s="128"/>
      <c r="V237" s="128"/>
      <c r="W237" s="128"/>
      <c r="X237" s="128"/>
    </row>
    <row r="238" spans="1:24" ht="48">
      <c r="A238" s="118" t="s">
        <v>435</v>
      </c>
      <c r="B238" s="119" t="s">
        <v>1257</v>
      </c>
      <c r="C238" s="119" t="s">
        <v>1258</v>
      </c>
      <c r="D238" s="118"/>
      <c r="E238" s="120" t="s">
        <v>1259</v>
      </c>
      <c r="F238" s="121">
        <v>3</v>
      </c>
      <c r="G238" s="122">
        <v>2</v>
      </c>
      <c r="H238" s="123">
        <f t="shared" si="10"/>
        <v>4</v>
      </c>
      <c r="I238" s="124" t="s">
        <v>1260</v>
      </c>
      <c r="J238" s="137" t="s">
        <v>441</v>
      </c>
      <c r="K238" s="138" t="s">
        <v>441</v>
      </c>
      <c r="L238" s="143" t="s">
        <v>441</v>
      </c>
      <c r="M238" s="124" t="s">
        <v>515</v>
      </c>
      <c r="N238" s="111">
        <v>4</v>
      </c>
      <c r="O238" s="111" t="s">
        <v>608</v>
      </c>
      <c r="P238" s="136"/>
      <c r="Q238" s="128"/>
      <c r="R238" s="128"/>
      <c r="S238" s="128"/>
      <c r="T238" s="128"/>
      <c r="U238" s="128"/>
      <c r="V238" s="128"/>
      <c r="W238" s="128"/>
      <c r="X238" s="128"/>
    </row>
    <row r="239" spans="1:24" ht="36">
      <c r="A239" s="118" t="s">
        <v>591</v>
      </c>
      <c r="B239" s="119" t="s">
        <v>1261</v>
      </c>
      <c r="C239" s="119" t="s">
        <v>1262</v>
      </c>
      <c r="D239" s="118"/>
      <c r="E239" s="129"/>
      <c r="F239" s="121">
        <v>3</v>
      </c>
      <c r="G239" s="122">
        <v>2</v>
      </c>
      <c r="H239" s="123">
        <f t="shared" si="10"/>
        <v>4</v>
      </c>
      <c r="I239" s="124" t="s">
        <v>1243</v>
      </c>
      <c r="J239" s="137" t="s">
        <v>441</v>
      </c>
      <c r="K239" s="138" t="s">
        <v>441</v>
      </c>
      <c r="L239" s="143" t="s">
        <v>441</v>
      </c>
      <c r="M239" s="124" t="s">
        <v>515</v>
      </c>
      <c r="N239" s="111">
        <v>4</v>
      </c>
      <c r="O239" s="111" t="s">
        <v>608</v>
      </c>
      <c r="P239" s="136"/>
      <c r="Q239" s="128"/>
      <c r="R239" s="128"/>
      <c r="S239" s="128"/>
      <c r="T239" s="128"/>
      <c r="U239" s="128"/>
      <c r="V239" s="128"/>
      <c r="W239" s="128"/>
      <c r="X239" s="128"/>
    </row>
    <row r="240" spans="1:24" ht="36">
      <c r="A240" s="118" t="s">
        <v>591</v>
      </c>
      <c r="B240" s="119" t="s">
        <v>1263</v>
      </c>
      <c r="C240" s="119" t="s">
        <v>1264</v>
      </c>
      <c r="D240" s="118"/>
      <c r="E240" s="129"/>
      <c r="F240" s="121">
        <v>3</v>
      </c>
      <c r="G240" s="122">
        <v>2</v>
      </c>
      <c r="H240" s="123">
        <f t="shared" si="10"/>
        <v>4</v>
      </c>
      <c r="I240" s="124" t="s">
        <v>1265</v>
      </c>
      <c r="J240" s="137" t="s">
        <v>441</v>
      </c>
      <c r="K240" s="138" t="s">
        <v>441</v>
      </c>
      <c r="L240" s="143" t="s">
        <v>441</v>
      </c>
      <c r="M240" s="124" t="s">
        <v>1266</v>
      </c>
      <c r="N240" s="111">
        <v>4</v>
      </c>
      <c r="O240" s="111" t="s">
        <v>608</v>
      </c>
      <c r="P240" s="136"/>
      <c r="Q240" s="128"/>
      <c r="R240" s="128"/>
      <c r="S240" s="128"/>
      <c r="T240" s="128"/>
      <c r="U240" s="128"/>
      <c r="V240" s="128"/>
      <c r="W240" s="128"/>
      <c r="X240" s="128"/>
    </row>
    <row r="241" spans="1:24" ht="48">
      <c r="A241" s="118" t="s">
        <v>591</v>
      </c>
      <c r="B241" s="119" t="s">
        <v>1267</v>
      </c>
      <c r="C241" s="119" t="s">
        <v>1268</v>
      </c>
      <c r="D241" s="118"/>
      <c r="E241" s="129"/>
      <c r="F241" s="121">
        <v>3</v>
      </c>
      <c r="G241" s="122">
        <v>2</v>
      </c>
      <c r="H241" s="123">
        <f t="shared" si="10"/>
        <v>4</v>
      </c>
      <c r="I241" s="124" t="s">
        <v>1265</v>
      </c>
      <c r="J241" s="137" t="s">
        <v>441</v>
      </c>
      <c r="K241" s="138" t="s">
        <v>441</v>
      </c>
      <c r="L241" s="143" t="s">
        <v>441</v>
      </c>
      <c r="M241" s="124" t="s">
        <v>1266</v>
      </c>
      <c r="N241" s="111">
        <v>4</v>
      </c>
      <c r="O241" s="111" t="s">
        <v>608</v>
      </c>
      <c r="P241" s="136"/>
      <c r="Q241" s="128"/>
      <c r="R241" s="128"/>
      <c r="S241" s="128"/>
      <c r="T241" s="128"/>
      <c r="U241" s="128"/>
      <c r="V241" s="128"/>
      <c r="W241" s="128"/>
      <c r="X241" s="128"/>
    </row>
    <row r="242" spans="1:24" ht="36">
      <c r="A242" s="118" t="s">
        <v>435</v>
      </c>
      <c r="B242" s="119" t="s">
        <v>1269</v>
      </c>
      <c r="C242" s="119" t="s">
        <v>1092</v>
      </c>
      <c r="D242" s="118"/>
      <c r="E242" s="120" t="s">
        <v>1270</v>
      </c>
      <c r="F242" s="121">
        <v>2</v>
      </c>
      <c r="G242" s="122">
        <v>2</v>
      </c>
      <c r="H242" s="123">
        <f t="shared" si="10"/>
        <v>3</v>
      </c>
      <c r="I242" s="124" t="s">
        <v>671</v>
      </c>
      <c r="J242" s="125">
        <v>3</v>
      </c>
      <c r="K242" s="122">
        <v>2</v>
      </c>
      <c r="L242" s="111">
        <f t="shared" ref="L242:L256" si="11">(J242+K242)-1</f>
        <v>4</v>
      </c>
      <c r="M242" s="124" t="s">
        <v>1099</v>
      </c>
      <c r="N242" s="111">
        <v>4</v>
      </c>
      <c r="O242" s="111" t="s">
        <v>608</v>
      </c>
      <c r="P242" s="136"/>
      <c r="Q242" s="128"/>
      <c r="R242" s="128"/>
      <c r="S242" s="128"/>
      <c r="T242" s="128"/>
      <c r="U242" s="128"/>
      <c r="V242" s="128"/>
      <c r="W242" s="128"/>
      <c r="X242" s="128"/>
    </row>
    <row r="243" spans="1:24" ht="24">
      <c r="A243" s="118" t="s">
        <v>435</v>
      </c>
      <c r="B243" s="119" t="s">
        <v>1271</v>
      </c>
      <c r="C243" s="119" t="s">
        <v>1092</v>
      </c>
      <c r="D243" s="118"/>
      <c r="E243" s="120" t="s">
        <v>1272</v>
      </c>
      <c r="F243" s="121">
        <v>2</v>
      </c>
      <c r="G243" s="122">
        <v>2</v>
      </c>
      <c r="H243" s="123">
        <f t="shared" si="10"/>
        <v>3</v>
      </c>
      <c r="I243" s="124" t="s">
        <v>1273</v>
      </c>
      <c r="J243" s="125">
        <v>3</v>
      </c>
      <c r="K243" s="122">
        <v>2</v>
      </c>
      <c r="L243" s="111">
        <f t="shared" si="11"/>
        <v>4</v>
      </c>
      <c r="M243" s="124" t="s">
        <v>1274</v>
      </c>
      <c r="N243" s="111">
        <v>4</v>
      </c>
      <c r="O243" s="111" t="s">
        <v>608</v>
      </c>
      <c r="P243" s="136"/>
      <c r="Q243" s="128"/>
      <c r="R243" s="128"/>
      <c r="S243" s="128"/>
      <c r="T243" s="128"/>
      <c r="U243" s="128"/>
      <c r="V243" s="128"/>
      <c r="W243" s="128"/>
      <c r="X243" s="128"/>
    </row>
    <row r="244" spans="1:24" ht="36">
      <c r="A244" s="118" t="s">
        <v>435</v>
      </c>
      <c r="B244" s="119" t="s">
        <v>1275</v>
      </c>
      <c r="C244" s="119" t="s">
        <v>1185</v>
      </c>
      <c r="D244" s="134"/>
      <c r="E244" s="120" t="s">
        <v>1276</v>
      </c>
      <c r="F244" s="121">
        <v>3</v>
      </c>
      <c r="G244" s="122">
        <v>2</v>
      </c>
      <c r="H244" s="123">
        <f t="shared" si="10"/>
        <v>4</v>
      </c>
      <c r="I244" s="124" t="s">
        <v>488</v>
      </c>
      <c r="J244" s="125">
        <v>2</v>
      </c>
      <c r="K244" s="122">
        <v>2</v>
      </c>
      <c r="L244" s="111">
        <f t="shared" si="11"/>
        <v>3</v>
      </c>
      <c r="M244" s="124" t="s">
        <v>924</v>
      </c>
      <c r="N244" s="111">
        <v>4</v>
      </c>
      <c r="O244" s="111" t="s">
        <v>608</v>
      </c>
      <c r="P244" s="136"/>
      <c r="Q244" s="128"/>
      <c r="R244" s="128"/>
      <c r="S244" s="128"/>
      <c r="T244" s="128"/>
      <c r="U244" s="128"/>
      <c r="V244" s="128"/>
      <c r="W244" s="128"/>
      <c r="X244" s="128"/>
    </row>
    <row r="245" spans="1:24" ht="36">
      <c r="A245" s="118" t="s">
        <v>435</v>
      </c>
      <c r="B245" s="119" t="s">
        <v>1277</v>
      </c>
      <c r="C245" s="119" t="s">
        <v>1278</v>
      </c>
      <c r="D245" s="134"/>
      <c r="E245" s="129"/>
      <c r="F245" s="121">
        <v>2</v>
      </c>
      <c r="G245" s="122">
        <v>3</v>
      </c>
      <c r="H245" s="123">
        <f t="shared" si="10"/>
        <v>4</v>
      </c>
      <c r="I245" s="124" t="s">
        <v>1279</v>
      </c>
      <c r="J245" s="125">
        <v>2</v>
      </c>
      <c r="K245" s="122">
        <v>2</v>
      </c>
      <c r="L245" s="111">
        <f t="shared" si="11"/>
        <v>3</v>
      </c>
      <c r="M245" s="124" t="s">
        <v>1280</v>
      </c>
      <c r="N245" s="111">
        <v>4</v>
      </c>
      <c r="O245" s="111" t="s">
        <v>608</v>
      </c>
      <c r="P245" s="136"/>
      <c r="Q245" s="128"/>
      <c r="R245" s="128"/>
      <c r="S245" s="128"/>
      <c r="T245" s="128"/>
      <c r="U245" s="128"/>
      <c r="V245" s="128"/>
      <c r="W245" s="128"/>
      <c r="X245" s="128"/>
    </row>
    <row r="246" spans="1:24" ht="24">
      <c r="A246" s="118" t="s">
        <v>435</v>
      </c>
      <c r="B246" s="119" t="s">
        <v>1281</v>
      </c>
      <c r="C246" s="119" t="s">
        <v>1282</v>
      </c>
      <c r="D246" s="134"/>
      <c r="E246" s="129"/>
      <c r="F246" s="121">
        <v>2</v>
      </c>
      <c r="G246" s="122">
        <v>3</v>
      </c>
      <c r="H246" s="123">
        <f t="shared" si="10"/>
        <v>4</v>
      </c>
      <c r="I246" s="124" t="s">
        <v>1283</v>
      </c>
      <c r="J246" s="125">
        <v>2</v>
      </c>
      <c r="K246" s="122">
        <v>2</v>
      </c>
      <c r="L246" s="111">
        <f t="shared" si="11"/>
        <v>3</v>
      </c>
      <c r="M246" s="124" t="s">
        <v>1284</v>
      </c>
      <c r="N246" s="111">
        <v>4</v>
      </c>
      <c r="O246" s="111" t="s">
        <v>608</v>
      </c>
      <c r="P246" s="136"/>
      <c r="Q246" s="128"/>
      <c r="R246" s="128"/>
      <c r="S246" s="128"/>
      <c r="T246" s="128"/>
      <c r="U246" s="128"/>
      <c r="V246" s="128"/>
      <c r="W246" s="128"/>
      <c r="X246" s="128"/>
    </row>
    <row r="247" spans="1:24" ht="36">
      <c r="A247" s="118" t="s">
        <v>435</v>
      </c>
      <c r="B247" s="119" t="s">
        <v>1285</v>
      </c>
      <c r="C247" s="119" t="s">
        <v>1286</v>
      </c>
      <c r="D247" s="118"/>
      <c r="E247" s="129"/>
      <c r="F247" s="121">
        <v>2</v>
      </c>
      <c r="G247" s="122">
        <v>3</v>
      </c>
      <c r="H247" s="123">
        <f t="shared" si="10"/>
        <v>4</v>
      </c>
      <c r="I247" s="124" t="s">
        <v>733</v>
      </c>
      <c r="J247" s="125">
        <v>2</v>
      </c>
      <c r="K247" s="122">
        <v>3</v>
      </c>
      <c r="L247" s="111">
        <f t="shared" si="11"/>
        <v>4</v>
      </c>
      <c r="M247" s="124" t="s">
        <v>778</v>
      </c>
      <c r="N247" s="111">
        <v>4</v>
      </c>
      <c r="O247" s="111" t="s">
        <v>608</v>
      </c>
      <c r="P247" s="136"/>
      <c r="Q247" s="128"/>
      <c r="R247" s="128"/>
      <c r="S247" s="128"/>
      <c r="T247" s="128"/>
      <c r="U247" s="128"/>
      <c r="V247" s="128"/>
      <c r="W247" s="128"/>
      <c r="X247" s="128"/>
    </row>
    <row r="248" spans="1:24" ht="48">
      <c r="A248" s="118" t="s">
        <v>435</v>
      </c>
      <c r="B248" s="119" t="s">
        <v>1287</v>
      </c>
      <c r="C248" s="119" t="s">
        <v>1288</v>
      </c>
      <c r="D248" s="134"/>
      <c r="E248" s="129"/>
      <c r="F248" s="121">
        <v>2</v>
      </c>
      <c r="G248" s="122">
        <v>3</v>
      </c>
      <c r="H248" s="123">
        <f t="shared" si="10"/>
        <v>4</v>
      </c>
      <c r="I248" s="124" t="s">
        <v>1289</v>
      </c>
      <c r="J248" s="125">
        <v>2</v>
      </c>
      <c r="K248" s="122">
        <v>3</v>
      </c>
      <c r="L248" s="111">
        <f t="shared" si="11"/>
        <v>4</v>
      </c>
      <c r="M248" s="124" t="s">
        <v>1038</v>
      </c>
      <c r="N248" s="111">
        <v>4</v>
      </c>
      <c r="O248" s="111" t="s">
        <v>608</v>
      </c>
      <c r="P248" s="136"/>
      <c r="Q248" s="128"/>
      <c r="R248" s="128"/>
      <c r="S248" s="128"/>
      <c r="T248" s="128"/>
      <c r="U248" s="128"/>
      <c r="V248" s="128"/>
      <c r="W248" s="128"/>
      <c r="X248" s="128"/>
    </row>
    <row r="249" spans="1:24" ht="60">
      <c r="A249" s="118" t="s">
        <v>435</v>
      </c>
      <c r="B249" s="119" t="s">
        <v>1290</v>
      </c>
      <c r="C249" s="119" t="s">
        <v>1291</v>
      </c>
      <c r="D249" s="134"/>
      <c r="E249" s="129"/>
      <c r="F249" s="121">
        <v>2</v>
      </c>
      <c r="G249" s="122">
        <v>3</v>
      </c>
      <c r="H249" s="123">
        <f t="shared" si="10"/>
        <v>4</v>
      </c>
      <c r="I249" s="124" t="s">
        <v>917</v>
      </c>
      <c r="J249" s="125">
        <v>2</v>
      </c>
      <c r="K249" s="122">
        <v>3</v>
      </c>
      <c r="L249" s="111">
        <f t="shared" si="11"/>
        <v>4</v>
      </c>
      <c r="M249" s="124" t="s">
        <v>778</v>
      </c>
      <c r="N249" s="111">
        <v>4</v>
      </c>
      <c r="O249" s="111" t="s">
        <v>608</v>
      </c>
      <c r="P249" s="136"/>
      <c r="Q249" s="128"/>
      <c r="R249" s="128"/>
      <c r="S249" s="128"/>
      <c r="T249" s="128"/>
      <c r="U249" s="128"/>
      <c r="V249" s="128"/>
      <c r="W249" s="128"/>
      <c r="X249" s="128"/>
    </row>
    <row r="250" spans="1:24" ht="60">
      <c r="A250" s="118" t="s">
        <v>435</v>
      </c>
      <c r="B250" s="119" t="s">
        <v>1292</v>
      </c>
      <c r="C250" s="119" t="s">
        <v>1293</v>
      </c>
      <c r="D250" s="134"/>
      <c r="E250" s="129"/>
      <c r="F250" s="121">
        <v>2</v>
      </c>
      <c r="G250" s="122">
        <v>3</v>
      </c>
      <c r="H250" s="123">
        <f t="shared" si="10"/>
        <v>4</v>
      </c>
      <c r="I250" s="124" t="s">
        <v>1294</v>
      </c>
      <c r="J250" s="125">
        <v>3</v>
      </c>
      <c r="K250" s="122">
        <v>1</v>
      </c>
      <c r="L250" s="111">
        <f t="shared" si="11"/>
        <v>3</v>
      </c>
      <c r="M250" s="124" t="s">
        <v>1295</v>
      </c>
      <c r="N250" s="111">
        <v>4</v>
      </c>
      <c r="O250" s="111" t="s">
        <v>608</v>
      </c>
      <c r="P250" s="136"/>
      <c r="Q250" s="128"/>
      <c r="R250" s="128"/>
      <c r="S250" s="128"/>
      <c r="T250" s="128"/>
      <c r="U250" s="128"/>
      <c r="V250" s="128"/>
      <c r="W250" s="128"/>
      <c r="X250" s="128"/>
    </row>
    <row r="251" spans="1:24" ht="48">
      <c r="A251" s="118" t="s">
        <v>435</v>
      </c>
      <c r="B251" s="119" t="s">
        <v>1296</v>
      </c>
      <c r="C251" s="119" t="s">
        <v>1297</v>
      </c>
      <c r="D251" s="118"/>
      <c r="E251" s="129"/>
      <c r="F251" s="121">
        <v>2</v>
      </c>
      <c r="G251" s="122">
        <v>3</v>
      </c>
      <c r="H251" s="123">
        <f t="shared" si="10"/>
        <v>4</v>
      </c>
      <c r="I251" s="124" t="s">
        <v>494</v>
      </c>
      <c r="J251" s="125">
        <v>2</v>
      </c>
      <c r="K251" s="122">
        <v>3</v>
      </c>
      <c r="L251" s="111">
        <f t="shared" si="11"/>
        <v>4</v>
      </c>
      <c r="M251" s="124" t="s">
        <v>1298</v>
      </c>
      <c r="N251" s="111">
        <v>4</v>
      </c>
      <c r="O251" s="111" t="s">
        <v>608</v>
      </c>
      <c r="P251" s="136"/>
      <c r="Q251" s="128"/>
      <c r="R251" s="128"/>
      <c r="S251" s="128"/>
      <c r="T251" s="128"/>
      <c r="U251" s="128"/>
      <c r="V251" s="128"/>
      <c r="W251" s="128"/>
      <c r="X251" s="128"/>
    </row>
    <row r="252" spans="1:24" ht="36">
      <c r="A252" s="118" t="s">
        <v>435</v>
      </c>
      <c r="B252" s="119" t="s">
        <v>1299</v>
      </c>
      <c r="C252" s="119" t="s">
        <v>1300</v>
      </c>
      <c r="D252" s="134"/>
      <c r="E252" s="129"/>
      <c r="F252" s="121">
        <v>2</v>
      </c>
      <c r="G252" s="122">
        <v>2</v>
      </c>
      <c r="H252" s="123">
        <f t="shared" si="10"/>
        <v>3</v>
      </c>
      <c r="I252" s="124" t="s">
        <v>1301</v>
      </c>
      <c r="J252" s="125">
        <v>2</v>
      </c>
      <c r="K252" s="122">
        <v>3</v>
      </c>
      <c r="L252" s="111">
        <f t="shared" si="11"/>
        <v>4</v>
      </c>
      <c r="M252" s="124" t="s">
        <v>1284</v>
      </c>
      <c r="N252" s="111">
        <v>4</v>
      </c>
      <c r="O252" s="111" t="s">
        <v>608</v>
      </c>
      <c r="P252" s="136"/>
      <c r="Q252" s="128"/>
      <c r="R252" s="128"/>
      <c r="S252" s="128"/>
      <c r="T252" s="128"/>
      <c r="U252" s="128"/>
      <c r="V252" s="128"/>
      <c r="W252" s="128"/>
      <c r="X252" s="128"/>
    </row>
    <row r="253" spans="1:24" ht="48">
      <c r="A253" s="118" t="s">
        <v>435</v>
      </c>
      <c r="B253" s="119" t="s">
        <v>1302</v>
      </c>
      <c r="C253" s="119" t="s">
        <v>1303</v>
      </c>
      <c r="D253" s="118"/>
      <c r="E253" s="120" t="s">
        <v>1304</v>
      </c>
      <c r="F253" s="121">
        <v>2</v>
      </c>
      <c r="G253" s="122">
        <v>3</v>
      </c>
      <c r="H253" s="123">
        <f t="shared" si="10"/>
        <v>4</v>
      </c>
      <c r="I253" s="124" t="s">
        <v>1305</v>
      </c>
      <c r="J253" s="125">
        <v>2</v>
      </c>
      <c r="K253" s="122">
        <v>2</v>
      </c>
      <c r="L253" s="111">
        <f t="shared" si="11"/>
        <v>3</v>
      </c>
      <c r="M253" s="124" t="s">
        <v>921</v>
      </c>
      <c r="N253" s="111">
        <v>4</v>
      </c>
      <c r="O253" s="111" t="s">
        <v>608</v>
      </c>
      <c r="P253" s="136"/>
      <c r="Q253" s="128"/>
      <c r="R253" s="128"/>
      <c r="S253" s="128"/>
      <c r="T253" s="128"/>
      <c r="U253" s="128"/>
      <c r="V253" s="128"/>
      <c r="W253" s="128"/>
      <c r="X253" s="128"/>
    </row>
    <row r="254" spans="1:24" ht="48">
      <c r="A254" s="118" t="s">
        <v>435</v>
      </c>
      <c r="B254" s="119" t="s">
        <v>1306</v>
      </c>
      <c r="C254" s="119" t="s">
        <v>1307</v>
      </c>
      <c r="D254" s="118"/>
      <c r="E254" s="129"/>
      <c r="F254" s="121">
        <v>1</v>
      </c>
      <c r="G254" s="122">
        <v>3</v>
      </c>
      <c r="H254" s="123">
        <f t="shared" si="10"/>
        <v>3</v>
      </c>
      <c r="I254" s="124" t="s">
        <v>752</v>
      </c>
      <c r="J254" s="125">
        <v>2</v>
      </c>
      <c r="K254" s="122">
        <v>3</v>
      </c>
      <c r="L254" s="111">
        <f t="shared" si="11"/>
        <v>4</v>
      </c>
      <c r="M254" s="124" t="s">
        <v>774</v>
      </c>
      <c r="N254" s="111">
        <v>4</v>
      </c>
      <c r="O254" s="111" t="s">
        <v>608</v>
      </c>
      <c r="P254" s="136"/>
      <c r="Q254" s="128"/>
      <c r="R254" s="128"/>
      <c r="S254" s="128"/>
      <c r="T254" s="128"/>
      <c r="U254" s="128"/>
      <c r="V254" s="128"/>
      <c r="W254" s="128"/>
      <c r="X254" s="128"/>
    </row>
    <row r="255" spans="1:24" ht="48">
      <c r="A255" s="118" t="s">
        <v>435</v>
      </c>
      <c r="B255" s="119" t="s">
        <v>1308</v>
      </c>
      <c r="C255" s="119" t="s">
        <v>1309</v>
      </c>
      <c r="D255" s="134"/>
      <c r="E255" s="129"/>
      <c r="F255" s="121">
        <v>2</v>
      </c>
      <c r="G255" s="122">
        <v>3</v>
      </c>
      <c r="H255" s="123">
        <f t="shared" si="10"/>
        <v>4</v>
      </c>
      <c r="I255" s="124" t="s">
        <v>482</v>
      </c>
      <c r="J255" s="125">
        <v>2</v>
      </c>
      <c r="K255" s="122">
        <v>2</v>
      </c>
      <c r="L255" s="111">
        <f t="shared" si="11"/>
        <v>3</v>
      </c>
      <c r="M255" s="124" t="s">
        <v>1310</v>
      </c>
      <c r="N255" s="111">
        <v>4</v>
      </c>
      <c r="O255" s="111" t="s">
        <v>608</v>
      </c>
      <c r="P255" s="136"/>
      <c r="Q255" s="128"/>
      <c r="R255" s="128"/>
      <c r="S255" s="128"/>
      <c r="T255" s="128"/>
      <c r="U255" s="128"/>
      <c r="V255" s="128"/>
      <c r="W255" s="128"/>
      <c r="X255" s="128"/>
    </row>
    <row r="256" spans="1:24" ht="48">
      <c r="A256" s="118" t="s">
        <v>435</v>
      </c>
      <c r="B256" s="119" t="s">
        <v>1311</v>
      </c>
      <c r="C256" s="119" t="s">
        <v>1312</v>
      </c>
      <c r="D256" s="118"/>
      <c r="E256" s="129"/>
      <c r="F256" s="121">
        <v>2</v>
      </c>
      <c r="G256" s="122">
        <v>3</v>
      </c>
      <c r="H256" s="123">
        <f t="shared" si="10"/>
        <v>4</v>
      </c>
      <c r="I256" s="124" t="s">
        <v>1118</v>
      </c>
      <c r="J256" s="125">
        <v>2</v>
      </c>
      <c r="K256" s="122">
        <v>3</v>
      </c>
      <c r="L256" s="111">
        <f t="shared" si="11"/>
        <v>4</v>
      </c>
      <c r="M256" s="124" t="s">
        <v>1313</v>
      </c>
      <c r="N256" s="111">
        <v>4</v>
      </c>
      <c r="O256" s="111" t="s">
        <v>608</v>
      </c>
      <c r="P256" s="136"/>
      <c r="Q256" s="128"/>
      <c r="R256" s="128"/>
      <c r="S256" s="128"/>
      <c r="T256" s="128"/>
      <c r="U256" s="128"/>
      <c r="V256" s="128"/>
      <c r="W256" s="128"/>
      <c r="X256" s="128"/>
    </row>
    <row r="257" spans="1:24" ht="48">
      <c r="A257" s="118" t="s">
        <v>450</v>
      </c>
      <c r="B257" s="119" t="s">
        <v>1314</v>
      </c>
      <c r="C257" s="119" t="s">
        <v>1315</v>
      </c>
      <c r="D257" s="118"/>
      <c r="E257" s="129"/>
      <c r="F257" s="121">
        <v>2</v>
      </c>
      <c r="G257" s="122">
        <v>3</v>
      </c>
      <c r="H257" s="123">
        <f t="shared" si="10"/>
        <v>4</v>
      </c>
      <c r="I257" s="124" t="s">
        <v>1316</v>
      </c>
      <c r="J257" s="137" t="s">
        <v>441</v>
      </c>
      <c r="K257" s="138" t="s">
        <v>441</v>
      </c>
      <c r="L257" s="143" t="s">
        <v>441</v>
      </c>
      <c r="M257" s="124" t="s">
        <v>515</v>
      </c>
      <c r="N257" s="111">
        <v>4</v>
      </c>
      <c r="O257" s="111" t="s">
        <v>608</v>
      </c>
      <c r="P257" s="136"/>
      <c r="Q257" s="128"/>
      <c r="R257" s="128"/>
      <c r="S257" s="128"/>
      <c r="T257" s="128"/>
      <c r="U257" s="128"/>
      <c r="V257" s="128"/>
      <c r="W257" s="128"/>
      <c r="X257" s="128"/>
    </row>
    <row r="258" spans="1:24" ht="48">
      <c r="A258" s="118" t="s">
        <v>435</v>
      </c>
      <c r="B258" s="119" t="s">
        <v>1317</v>
      </c>
      <c r="C258" s="119" t="s">
        <v>1318</v>
      </c>
      <c r="D258" s="118"/>
      <c r="E258" s="129"/>
      <c r="F258" s="121">
        <v>2</v>
      </c>
      <c r="G258" s="122">
        <v>3</v>
      </c>
      <c r="H258" s="123">
        <f t="shared" si="10"/>
        <v>4</v>
      </c>
      <c r="I258" s="124" t="s">
        <v>917</v>
      </c>
      <c r="J258" s="137" t="s">
        <v>441</v>
      </c>
      <c r="K258" s="138" t="s">
        <v>441</v>
      </c>
      <c r="L258" s="143" t="s">
        <v>441</v>
      </c>
      <c r="M258" s="124" t="s">
        <v>515</v>
      </c>
      <c r="N258" s="111">
        <v>4</v>
      </c>
      <c r="O258" s="111" t="s">
        <v>608</v>
      </c>
      <c r="P258" s="136"/>
      <c r="Q258" s="128"/>
      <c r="R258" s="128"/>
      <c r="S258" s="128"/>
      <c r="T258" s="128"/>
      <c r="U258" s="128"/>
      <c r="V258" s="128"/>
      <c r="W258" s="128"/>
      <c r="X258" s="128"/>
    </row>
    <row r="259" spans="1:24" ht="48">
      <c r="A259" s="118" t="s">
        <v>435</v>
      </c>
      <c r="B259" s="119" t="s">
        <v>1319</v>
      </c>
      <c r="C259" s="119" t="s">
        <v>1320</v>
      </c>
      <c r="D259" s="118"/>
      <c r="E259" s="129"/>
      <c r="F259" s="121">
        <v>2</v>
      </c>
      <c r="G259" s="122">
        <v>3</v>
      </c>
      <c r="H259" s="123">
        <f t="shared" si="10"/>
        <v>4</v>
      </c>
      <c r="I259" s="124" t="s">
        <v>1321</v>
      </c>
      <c r="J259" s="137" t="s">
        <v>441</v>
      </c>
      <c r="K259" s="138" t="s">
        <v>441</v>
      </c>
      <c r="L259" s="143" t="s">
        <v>441</v>
      </c>
      <c r="M259" s="124" t="s">
        <v>515</v>
      </c>
      <c r="N259" s="111">
        <v>4</v>
      </c>
      <c r="O259" s="111" t="s">
        <v>608</v>
      </c>
      <c r="P259" s="136"/>
      <c r="Q259" s="128"/>
      <c r="R259" s="128"/>
      <c r="S259" s="128"/>
      <c r="T259" s="128"/>
      <c r="U259" s="128"/>
      <c r="V259" s="128"/>
      <c r="W259" s="128"/>
      <c r="X259" s="128"/>
    </row>
    <row r="260" spans="1:24" ht="24">
      <c r="A260" s="118" t="s">
        <v>435</v>
      </c>
      <c r="B260" s="119" t="s">
        <v>1322</v>
      </c>
      <c r="C260" s="119" t="s">
        <v>1323</v>
      </c>
      <c r="D260" s="134"/>
      <c r="E260" s="129"/>
      <c r="F260" s="121">
        <v>2</v>
      </c>
      <c r="G260" s="122">
        <v>3</v>
      </c>
      <c r="H260" s="123">
        <f t="shared" si="10"/>
        <v>4</v>
      </c>
      <c r="I260" s="124" t="s">
        <v>1324</v>
      </c>
      <c r="J260" s="137" t="s">
        <v>441</v>
      </c>
      <c r="K260" s="138" t="s">
        <v>441</v>
      </c>
      <c r="L260" s="143" t="s">
        <v>441</v>
      </c>
      <c r="M260" s="124" t="s">
        <v>515</v>
      </c>
      <c r="N260" s="111">
        <v>4</v>
      </c>
      <c r="O260" s="111" t="s">
        <v>608</v>
      </c>
      <c r="P260" s="136"/>
      <c r="Q260" s="128"/>
      <c r="R260" s="128"/>
      <c r="S260" s="128"/>
      <c r="T260" s="128"/>
      <c r="U260" s="128"/>
      <c r="V260" s="128"/>
      <c r="W260" s="128"/>
      <c r="X260" s="128"/>
    </row>
    <row r="261" spans="1:24" ht="48">
      <c r="A261" s="118" t="s">
        <v>435</v>
      </c>
      <c r="B261" s="119" t="s">
        <v>1325</v>
      </c>
      <c r="C261" s="119" t="s">
        <v>1326</v>
      </c>
      <c r="D261" s="134"/>
      <c r="E261" s="129"/>
      <c r="F261" s="121">
        <v>2</v>
      </c>
      <c r="G261" s="122">
        <v>3</v>
      </c>
      <c r="H261" s="123">
        <f t="shared" si="10"/>
        <v>4</v>
      </c>
      <c r="I261" s="124" t="s">
        <v>504</v>
      </c>
      <c r="J261" s="137" t="s">
        <v>441</v>
      </c>
      <c r="K261" s="138" t="s">
        <v>441</v>
      </c>
      <c r="L261" s="143" t="s">
        <v>441</v>
      </c>
      <c r="M261" s="124" t="s">
        <v>515</v>
      </c>
      <c r="N261" s="111">
        <v>4</v>
      </c>
      <c r="O261" s="111" t="s">
        <v>608</v>
      </c>
      <c r="P261" s="136"/>
      <c r="Q261" s="128"/>
      <c r="R261" s="128"/>
      <c r="S261" s="128"/>
      <c r="T261" s="128"/>
      <c r="U261" s="128"/>
      <c r="V261" s="128"/>
      <c r="W261" s="128"/>
      <c r="X261" s="128"/>
    </row>
    <row r="262" spans="1:24" ht="36">
      <c r="A262" s="118" t="s">
        <v>435</v>
      </c>
      <c r="B262" s="119" t="s">
        <v>1327</v>
      </c>
      <c r="C262" s="119" t="s">
        <v>1328</v>
      </c>
      <c r="D262" s="134"/>
      <c r="E262" s="129"/>
      <c r="F262" s="121">
        <v>2</v>
      </c>
      <c r="G262" s="122">
        <v>3</v>
      </c>
      <c r="H262" s="123">
        <f t="shared" si="10"/>
        <v>4</v>
      </c>
      <c r="I262" s="124" t="s">
        <v>1329</v>
      </c>
      <c r="J262" s="125">
        <v>2</v>
      </c>
      <c r="K262" s="122">
        <v>2</v>
      </c>
      <c r="L262" s="111">
        <f>(J262+K262)-1</f>
        <v>3</v>
      </c>
      <c r="M262" s="124" t="s">
        <v>774</v>
      </c>
      <c r="N262" s="111">
        <v>4</v>
      </c>
      <c r="O262" s="111" t="s">
        <v>608</v>
      </c>
      <c r="P262" s="136"/>
      <c r="Q262" s="128"/>
      <c r="R262" s="128"/>
      <c r="S262" s="128"/>
      <c r="T262" s="128"/>
      <c r="U262" s="128"/>
      <c r="V262" s="128"/>
      <c r="W262" s="128"/>
      <c r="X262" s="128"/>
    </row>
    <row r="263" spans="1:24" ht="36">
      <c r="A263" s="118" t="s">
        <v>435</v>
      </c>
      <c r="B263" s="119" t="s">
        <v>1330</v>
      </c>
      <c r="C263" s="119" t="s">
        <v>1328</v>
      </c>
      <c r="D263" s="134"/>
      <c r="E263" s="129"/>
      <c r="F263" s="121">
        <v>2</v>
      </c>
      <c r="G263" s="122">
        <v>3</v>
      </c>
      <c r="H263" s="123">
        <f t="shared" si="10"/>
        <v>4</v>
      </c>
      <c r="I263" s="124" t="s">
        <v>1329</v>
      </c>
      <c r="J263" s="125">
        <v>2</v>
      </c>
      <c r="K263" s="122">
        <v>2</v>
      </c>
      <c r="L263" s="111">
        <f>(J263+K263)-1</f>
        <v>3</v>
      </c>
      <c r="M263" s="124" t="s">
        <v>774</v>
      </c>
      <c r="N263" s="111">
        <v>4</v>
      </c>
      <c r="O263" s="111" t="s">
        <v>608</v>
      </c>
      <c r="P263" s="136"/>
      <c r="Q263" s="128"/>
      <c r="R263" s="128"/>
      <c r="S263" s="128"/>
      <c r="T263" s="128"/>
      <c r="U263" s="128"/>
      <c r="V263" s="128"/>
      <c r="W263" s="128"/>
      <c r="X263" s="128"/>
    </row>
    <row r="264" spans="1:24" ht="24">
      <c r="A264" s="118" t="s">
        <v>435</v>
      </c>
      <c r="B264" s="119" t="s">
        <v>1331</v>
      </c>
      <c r="C264" s="119" t="s">
        <v>1332</v>
      </c>
      <c r="D264" s="118"/>
      <c r="E264" s="129"/>
      <c r="F264" s="121">
        <v>2</v>
      </c>
      <c r="G264" s="122">
        <v>3</v>
      </c>
      <c r="H264" s="123">
        <f t="shared" si="10"/>
        <v>4</v>
      </c>
      <c r="I264" s="124" t="s">
        <v>1333</v>
      </c>
      <c r="J264" s="125">
        <v>2</v>
      </c>
      <c r="K264" s="122">
        <v>2</v>
      </c>
      <c r="L264" s="111">
        <f>(J264+K264)-1</f>
        <v>3</v>
      </c>
      <c r="M264" s="124" t="s">
        <v>778</v>
      </c>
      <c r="N264" s="111">
        <v>4</v>
      </c>
      <c r="O264" s="111" t="s">
        <v>608</v>
      </c>
      <c r="P264" s="136"/>
      <c r="Q264" s="128"/>
      <c r="R264" s="128"/>
      <c r="S264" s="128"/>
      <c r="T264" s="128"/>
      <c r="U264" s="128"/>
      <c r="V264" s="128"/>
      <c r="W264" s="128"/>
      <c r="X264" s="128"/>
    </row>
    <row r="265" spans="1:24" ht="24">
      <c r="A265" s="118" t="s">
        <v>435</v>
      </c>
      <c r="B265" s="119" t="s">
        <v>1334</v>
      </c>
      <c r="C265" s="119" t="s">
        <v>1335</v>
      </c>
      <c r="D265" s="118"/>
      <c r="E265" s="120" t="s">
        <v>1336</v>
      </c>
      <c r="F265" s="121">
        <v>2</v>
      </c>
      <c r="G265" s="122">
        <v>3</v>
      </c>
      <c r="H265" s="123">
        <f t="shared" si="10"/>
        <v>4</v>
      </c>
      <c r="I265" s="124" t="s">
        <v>733</v>
      </c>
      <c r="J265" s="125">
        <v>2</v>
      </c>
      <c r="K265" s="122">
        <v>2</v>
      </c>
      <c r="L265" s="111">
        <f>(J265+K265)-1</f>
        <v>3</v>
      </c>
      <c r="M265" s="124" t="s">
        <v>921</v>
      </c>
      <c r="N265" s="111">
        <v>4</v>
      </c>
      <c r="O265" s="111" t="s">
        <v>608</v>
      </c>
      <c r="P265" s="136"/>
      <c r="Q265" s="128"/>
      <c r="R265" s="128"/>
      <c r="S265" s="128"/>
      <c r="T265" s="128"/>
      <c r="U265" s="128"/>
      <c r="V265" s="128"/>
      <c r="W265" s="128"/>
      <c r="X265" s="128"/>
    </row>
    <row r="266" spans="1:24" ht="84">
      <c r="A266" s="118" t="s">
        <v>591</v>
      </c>
      <c r="B266" s="119" t="s">
        <v>1337</v>
      </c>
      <c r="C266" s="119" t="s">
        <v>1338</v>
      </c>
      <c r="D266" s="118"/>
      <c r="E266" s="129"/>
      <c r="F266" s="121">
        <v>1</v>
      </c>
      <c r="G266" s="122">
        <v>4</v>
      </c>
      <c r="H266" s="123">
        <f t="shared" si="10"/>
        <v>4</v>
      </c>
      <c r="I266" s="124" t="s">
        <v>1339</v>
      </c>
      <c r="J266" s="137" t="s">
        <v>441</v>
      </c>
      <c r="K266" s="138" t="s">
        <v>441</v>
      </c>
      <c r="L266" s="143" t="s">
        <v>441</v>
      </c>
      <c r="M266" s="124" t="s">
        <v>515</v>
      </c>
      <c r="N266" s="111">
        <v>4</v>
      </c>
      <c r="O266" s="111" t="s">
        <v>608</v>
      </c>
      <c r="P266" s="136"/>
      <c r="Q266" s="128"/>
      <c r="R266" s="128"/>
      <c r="S266" s="128"/>
      <c r="T266" s="128"/>
      <c r="U266" s="128"/>
      <c r="V266" s="128"/>
      <c r="W266" s="128"/>
      <c r="X266" s="128"/>
    </row>
    <row r="267" spans="1:24" ht="60">
      <c r="A267" s="118" t="s">
        <v>591</v>
      </c>
      <c r="B267" s="119" t="s">
        <v>1340</v>
      </c>
      <c r="C267" s="119" t="s">
        <v>1341</v>
      </c>
      <c r="D267" s="118"/>
      <c r="E267" s="129"/>
      <c r="F267" s="121">
        <v>1</v>
      </c>
      <c r="G267" s="122">
        <v>4</v>
      </c>
      <c r="H267" s="123">
        <f t="shared" si="10"/>
        <v>4</v>
      </c>
      <c r="I267" s="124" t="s">
        <v>1342</v>
      </c>
      <c r="J267" s="137" t="s">
        <v>441</v>
      </c>
      <c r="K267" s="138" t="s">
        <v>441</v>
      </c>
      <c r="L267" s="143" t="s">
        <v>441</v>
      </c>
      <c r="M267" s="124" t="s">
        <v>515</v>
      </c>
      <c r="N267" s="111">
        <v>4</v>
      </c>
      <c r="O267" s="111" t="s">
        <v>608</v>
      </c>
      <c r="P267" s="136"/>
      <c r="Q267" s="128"/>
      <c r="R267" s="128"/>
      <c r="S267" s="128"/>
      <c r="T267" s="128"/>
      <c r="U267" s="128"/>
      <c r="V267" s="128"/>
      <c r="W267" s="128"/>
      <c r="X267" s="128"/>
    </row>
    <row r="268" spans="1:24" ht="72">
      <c r="A268" s="118" t="s">
        <v>591</v>
      </c>
      <c r="B268" s="119" t="s">
        <v>1343</v>
      </c>
      <c r="C268" s="119" t="s">
        <v>1344</v>
      </c>
      <c r="D268" s="118"/>
      <c r="E268" s="129"/>
      <c r="F268" s="121">
        <v>1</v>
      </c>
      <c r="G268" s="122">
        <v>4</v>
      </c>
      <c r="H268" s="123">
        <f t="shared" si="10"/>
        <v>4</v>
      </c>
      <c r="I268" s="124" t="s">
        <v>1345</v>
      </c>
      <c r="J268" s="125">
        <v>1</v>
      </c>
      <c r="K268" s="122">
        <v>4</v>
      </c>
      <c r="L268" s="111">
        <f t="shared" ref="L268:L275" si="12">(J268+K268)-1</f>
        <v>4</v>
      </c>
      <c r="M268" s="124" t="s">
        <v>1346</v>
      </c>
      <c r="N268" s="111">
        <v>4</v>
      </c>
      <c r="O268" s="111" t="s">
        <v>608</v>
      </c>
      <c r="P268" s="136"/>
      <c r="Q268" s="128"/>
      <c r="R268" s="128"/>
      <c r="S268" s="128"/>
      <c r="T268" s="128"/>
      <c r="U268" s="128"/>
      <c r="V268" s="128"/>
      <c r="W268" s="128"/>
      <c r="X268" s="128"/>
    </row>
    <row r="269" spans="1:24" ht="60">
      <c r="A269" s="118" t="s">
        <v>435</v>
      </c>
      <c r="B269" s="119" t="s">
        <v>1347</v>
      </c>
      <c r="C269" s="119" t="s">
        <v>1348</v>
      </c>
      <c r="D269" s="134"/>
      <c r="E269" s="129"/>
      <c r="F269" s="121">
        <v>3</v>
      </c>
      <c r="G269" s="122">
        <v>2</v>
      </c>
      <c r="H269" s="123">
        <f t="shared" si="10"/>
        <v>4</v>
      </c>
      <c r="I269" s="124" t="s">
        <v>488</v>
      </c>
      <c r="J269" s="125">
        <v>2</v>
      </c>
      <c r="K269" s="122">
        <v>2</v>
      </c>
      <c r="L269" s="111">
        <f t="shared" si="12"/>
        <v>3</v>
      </c>
      <c r="M269" s="124" t="s">
        <v>778</v>
      </c>
      <c r="N269" s="111">
        <v>3</v>
      </c>
      <c r="O269" s="111" t="s">
        <v>47</v>
      </c>
      <c r="P269" s="136"/>
      <c r="Q269" s="128"/>
      <c r="R269" s="128"/>
      <c r="S269" s="128"/>
      <c r="T269" s="128"/>
      <c r="U269" s="128"/>
      <c r="V269" s="128"/>
      <c r="W269" s="128"/>
      <c r="X269" s="128"/>
    </row>
    <row r="270" spans="1:24" ht="60">
      <c r="A270" s="118" t="s">
        <v>435</v>
      </c>
      <c r="B270" s="119" t="s">
        <v>1349</v>
      </c>
      <c r="C270" s="119" t="s">
        <v>1350</v>
      </c>
      <c r="D270" s="118"/>
      <c r="E270" s="120" t="s">
        <v>1351</v>
      </c>
      <c r="F270" s="121">
        <v>3</v>
      </c>
      <c r="G270" s="122">
        <v>2</v>
      </c>
      <c r="H270" s="123">
        <f t="shared" si="10"/>
        <v>4</v>
      </c>
      <c r="I270" s="124" t="s">
        <v>1352</v>
      </c>
      <c r="J270" s="125">
        <v>2</v>
      </c>
      <c r="K270" s="122">
        <v>2</v>
      </c>
      <c r="L270" s="111">
        <f t="shared" si="12"/>
        <v>3</v>
      </c>
      <c r="M270" s="124" t="s">
        <v>1353</v>
      </c>
      <c r="N270" s="111">
        <v>3</v>
      </c>
      <c r="O270" s="111" t="s">
        <v>47</v>
      </c>
      <c r="P270" s="136"/>
      <c r="Q270" s="128"/>
      <c r="R270" s="128"/>
      <c r="S270" s="128"/>
      <c r="T270" s="128"/>
      <c r="U270" s="128"/>
      <c r="V270" s="128"/>
      <c r="W270" s="128"/>
      <c r="X270" s="128"/>
    </row>
    <row r="271" spans="1:24" ht="36">
      <c r="A271" s="118" t="s">
        <v>435</v>
      </c>
      <c r="B271" s="119" t="s">
        <v>1354</v>
      </c>
      <c r="C271" s="119" t="s">
        <v>1355</v>
      </c>
      <c r="D271" s="134"/>
      <c r="E271" s="120" t="s">
        <v>1356</v>
      </c>
      <c r="F271" s="121">
        <v>2</v>
      </c>
      <c r="G271" s="122">
        <v>2</v>
      </c>
      <c r="H271" s="123">
        <f t="shared" si="10"/>
        <v>3</v>
      </c>
      <c r="I271" s="124" t="s">
        <v>733</v>
      </c>
      <c r="J271" s="125">
        <v>3</v>
      </c>
      <c r="K271" s="122">
        <v>1</v>
      </c>
      <c r="L271" s="111">
        <f t="shared" si="12"/>
        <v>3</v>
      </c>
      <c r="M271" s="124" t="s">
        <v>1357</v>
      </c>
      <c r="N271" s="111">
        <v>3</v>
      </c>
      <c r="O271" s="111" t="s">
        <v>47</v>
      </c>
      <c r="P271" s="136"/>
      <c r="Q271" s="128"/>
      <c r="R271" s="128"/>
      <c r="S271" s="128"/>
      <c r="T271" s="128"/>
      <c r="U271" s="128"/>
      <c r="V271" s="128"/>
      <c r="W271" s="128"/>
      <c r="X271" s="128"/>
    </row>
    <row r="272" spans="1:24" ht="36">
      <c r="A272" s="118" t="s">
        <v>435</v>
      </c>
      <c r="B272" s="119" t="s">
        <v>1358</v>
      </c>
      <c r="C272" s="119" t="s">
        <v>1359</v>
      </c>
      <c r="D272" s="134"/>
      <c r="E272" s="129"/>
      <c r="F272" s="121">
        <v>2</v>
      </c>
      <c r="G272" s="122">
        <v>2</v>
      </c>
      <c r="H272" s="123">
        <f t="shared" si="10"/>
        <v>3</v>
      </c>
      <c r="I272" s="124" t="s">
        <v>1118</v>
      </c>
      <c r="J272" s="125">
        <v>3</v>
      </c>
      <c r="K272" s="122">
        <v>1</v>
      </c>
      <c r="L272" s="111">
        <f t="shared" si="12"/>
        <v>3</v>
      </c>
      <c r="M272" s="124" t="s">
        <v>774</v>
      </c>
      <c r="N272" s="111">
        <v>3</v>
      </c>
      <c r="O272" s="111" t="s">
        <v>47</v>
      </c>
      <c r="P272" s="136"/>
      <c r="Q272" s="128"/>
      <c r="R272" s="128"/>
      <c r="S272" s="128"/>
      <c r="T272" s="128"/>
      <c r="U272" s="128"/>
      <c r="V272" s="128"/>
      <c r="W272" s="128"/>
      <c r="X272" s="128"/>
    </row>
    <row r="273" spans="1:24" ht="24">
      <c r="A273" s="118" t="s">
        <v>435</v>
      </c>
      <c r="B273" s="119" t="s">
        <v>1360</v>
      </c>
      <c r="C273" s="119" t="s">
        <v>1361</v>
      </c>
      <c r="D273" s="134"/>
      <c r="E273" s="120" t="s">
        <v>1362</v>
      </c>
      <c r="F273" s="121">
        <v>2</v>
      </c>
      <c r="G273" s="122">
        <v>2</v>
      </c>
      <c r="H273" s="123">
        <f t="shared" si="10"/>
        <v>3</v>
      </c>
      <c r="I273" s="124" t="s">
        <v>709</v>
      </c>
      <c r="J273" s="125">
        <v>3</v>
      </c>
      <c r="K273" s="122">
        <v>1</v>
      </c>
      <c r="L273" s="111">
        <f t="shared" si="12"/>
        <v>3</v>
      </c>
      <c r="M273" s="124" t="s">
        <v>1363</v>
      </c>
      <c r="N273" s="111">
        <v>3</v>
      </c>
      <c r="O273" s="111" t="s">
        <v>47</v>
      </c>
      <c r="P273" s="136"/>
      <c r="Q273" s="128"/>
      <c r="R273" s="128"/>
      <c r="S273" s="128"/>
      <c r="T273" s="128"/>
      <c r="U273" s="128"/>
      <c r="V273" s="128"/>
      <c r="W273" s="128"/>
      <c r="X273" s="128"/>
    </row>
    <row r="274" spans="1:24" ht="36">
      <c r="A274" s="118" t="s">
        <v>435</v>
      </c>
      <c r="B274" s="119" t="s">
        <v>1364</v>
      </c>
      <c r="C274" s="119" t="s">
        <v>1092</v>
      </c>
      <c r="D274" s="118"/>
      <c r="E274" s="120" t="s">
        <v>1365</v>
      </c>
      <c r="F274" s="121">
        <v>1</v>
      </c>
      <c r="G274" s="122">
        <v>2</v>
      </c>
      <c r="H274" s="123">
        <f t="shared" si="10"/>
        <v>2</v>
      </c>
      <c r="I274" s="124" t="s">
        <v>671</v>
      </c>
      <c r="J274" s="125">
        <v>3</v>
      </c>
      <c r="K274" s="122">
        <v>1</v>
      </c>
      <c r="L274" s="111">
        <f t="shared" si="12"/>
        <v>3</v>
      </c>
      <c r="M274" s="124" t="s">
        <v>1099</v>
      </c>
      <c r="N274" s="111">
        <v>3</v>
      </c>
      <c r="O274" s="111" t="s">
        <v>47</v>
      </c>
      <c r="P274" s="136"/>
      <c r="Q274" s="128"/>
      <c r="R274" s="128"/>
      <c r="S274" s="128"/>
      <c r="T274" s="128"/>
      <c r="U274" s="128"/>
      <c r="V274" s="128"/>
      <c r="W274" s="128"/>
      <c r="X274" s="128"/>
    </row>
    <row r="275" spans="1:24" ht="48">
      <c r="A275" s="118" t="s">
        <v>435</v>
      </c>
      <c r="B275" s="119" t="s">
        <v>1366</v>
      </c>
      <c r="C275" s="119" t="s">
        <v>681</v>
      </c>
      <c r="D275" s="118"/>
      <c r="E275" s="120" t="s">
        <v>1367</v>
      </c>
      <c r="F275" s="121">
        <v>1</v>
      </c>
      <c r="G275" s="122">
        <v>2</v>
      </c>
      <c r="H275" s="123">
        <f t="shared" si="10"/>
        <v>2</v>
      </c>
      <c r="I275" s="124" t="s">
        <v>702</v>
      </c>
      <c r="J275" s="125">
        <v>3</v>
      </c>
      <c r="K275" s="122">
        <v>1</v>
      </c>
      <c r="L275" s="111">
        <f t="shared" si="12"/>
        <v>3</v>
      </c>
      <c r="M275" s="124" t="s">
        <v>1368</v>
      </c>
      <c r="N275" s="111">
        <v>3</v>
      </c>
      <c r="O275" s="111" t="s">
        <v>47</v>
      </c>
      <c r="P275" s="136"/>
      <c r="Q275" s="128"/>
      <c r="R275" s="128"/>
      <c r="S275" s="128"/>
      <c r="T275" s="128"/>
      <c r="U275" s="128"/>
      <c r="V275" s="128"/>
      <c r="W275" s="128"/>
      <c r="X275" s="128"/>
    </row>
    <row r="276" spans="1:24" ht="48">
      <c r="A276" s="118" t="s">
        <v>591</v>
      </c>
      <c r="B276" s="119" t="s">
        <v>1369</v>
      </c>
      <c r="C276" s="119" t="s">
        <v>1370</v>
      </c>
      <c r="D276" s="118"/>
      <c r="E276" s="129"/>
      <c r="F276" s="121">
        <v>3</v>
      </c>
      <c r="G276" s="122">
        <v>1</v>
      </c>
      <c r="H276" s="123">
        <f t="shared" si="10"/>
        <v>3</v>
      </c>
      <c r="I276" s="124" t="s">
        <v>1371</v>
      </c>
      <c r="J276" s="137" t="s">
        <v>441</v>
      </c>
      <c r="K276" s="138" t="s">
        <v>441</v>
      </c>
      <c r="L276" s="143" t="s">
        <v>441</v>
      </c>
      <c r="M276" s="124" t="s">
        <v>1372</v>
      </c>
      <c r="N276" s="111">
        <v>3</v>
      </c>
      <c r="O276" s="111" t="s">
        <v>47</v>
      </c>
      <c r="P276" s="136"/>
      <c r="Q276" s="128"/>
      <c r="R276" s="128"/>
      <c r="S276" s="128"/>
      <c r="T276" s="128"/>
      <c r="U276" s="128"/>
      <c r="V276" s="128"/>
      <c r="W276" s="128"/>
      <c r="X276" s="128"/>
    </row>
    <row r="277" spans="1:24" ht="36">
      <c r="A277" s="118" t="s">
        <v>435</v>
      </c>
      <c r="B277" s="119" t="s">
        <v>1373</v>
      </c>
      <c r="C277" s="119" t="s">
        <v>1374</v>
      </c>
      <c r="D277" s="134"/>
      <c r="E277" s="120" t="s">
        <v>1375</v>
      </c>
      <c r="F277" s="121">
        <v>2</v>
      </c>
      <c r="G277" s="122">
        <v>2</v>
      </c>
      <c r="H277" s="123">
        <f t="shared" si="10"/>
        <v>3</v>
      </c>
      <c r="I277" s="124" t="s">
        <v>1118</v>
      </c>
      <c r="J277" s="125">
        <v>2</v>
      </c>
      <c r="K277" s="122">
        <v>2</v>
      </c>
      <c r="L277" s="111">
        <f t="shared" ref="L277:L309" si="13">(J277+K277)-1</f>
        <v>3</v>
      </c>
      <c r="M277" s="124" t="s">
        <v>1376</v>
      </c>
      <c r="N277" s="111">
        <v>3</v>
      </c>
      <c r="O277" s="111" t="s">
        <v>47</v>
      </c>
      <c r="P277" s="136"/>
      <c r="Q277" s="128"/>
      <c r="R277" s="128"/>
      <c r="S277" s="128"/>
      <c r="T277" s="128"/>
      <c r="U277" s="128"/>
      <c r="V277" s="128"/>
      <c r="W277" s="128"/>
      <c r="X277" s="128"/>
    </row>
    <row r="278" spans="1:24" ht="36">
      <c r="A278" s="118" t="s">
        <v>435</v>
      </c>
      <c r="B278" s="119" t="s">
        <v>1377</v>
      </c>
      <c r="C278" s="119" t="s">
        <v>1374</v>
      </c>
      <c r="D278" s="134"/>
      <c r="E278" s="120" t="s">
        <v>1375</v>
      </c>
      <c r="F278" s="121">
        <v>2</v>
      </c>
      <c r="G278" s="122">
        <v>2</v>
      </c>
      <c r="H278" s="123">
        <f t="shared" si="10"/>
        <v>3</v>
      </c>
      <c r="I278" s="124" t="s">
        <v>1118</v>
      </c>
      <c r="J278" s="125">
        <v>2</v>
      </c>
      <c r="K278" s="122">
        <v>2</v>
      </c>
      <c r="L278" s="111">
        <f t="shared" si="13"/>
        <v>3</v>
      </c>
      <c r="M278" s="124" t="s">
        <v>1376</v>
      </c>
      <c r="N278" s="111">
        <v>3</v>
      </c>
      <c r="O278" s="111" t="s">
        <v>47</v>
      </c>
      <c r="P278" s="136"/>
      <c r="Q278" s="128"/>
      <c r="R278" s="128"/>
      <c r="S278" s="128"/>
      <c r="T278" s="128"/>
      <c r="U278" s="128"/>
      <c r="V278" s="128"/>
      <c r="W278" s="128"/>
      <c r="X278" s="128"/>
    </row>
    <row r="279" spans="1:24" ht="36">
      <c r="A279" s="118" t="s">
        <v>435</v>
      </c>
      <c r="B279" s="119" t="s">
        <v>1378</v>
      </c>
      <c r="C279" s="119" t="s">
        <v>1379</v>
      </c>
      <c r="D279" s="134"/>
      <c r="E279" s="120" t="s">
        <v>1380</v>
      </c>
      <c r="F279" s="121">
        <v>1</v>
      </c>
      <c r="G279" s="122">
        <v>2</v>
      </c>
      <c r="H279" s="123">
        <f t="shared" si="10"/>
        <v>2</v>
      </c>
      <c r="I279" s="124" t="s">
        <v>1228</v>
      </c>
      <c r="J279" s="125">
        <v>2</v>
      </c>
      <c r="K279" s="122">
        <v>2</v>
      </c>
      <c r="L279" s="111">
        <f t="shared" si="13"/>
        <v>3</v>
      </c>
      <c r="M279" s="124" t="s">
        <v>1110</v>
      </c>
      <c r="N279" s="111">
        <v>3</v>
      </c>
      <c r="O279" s="111" t="s">
        <v>47</v>
      </c>
      <c r="P279" s="136"/>
      <c r="Q279" s="128"/>
      <c r="R279" s="128"/>
      <c r="S279" s="128"/>
      <c r="T279" s="128"/>
      <c r="U279" s="128"/>
      <c r="V279" s="128"/>
      <c r="W279" s="128"/>
      <c r="X279" s="128"/>
    </row>
    <row r="280" spans="1:24" ht="48">
      <c r="A280" s="118" t="s">
        <v>435</v>
      </c>
      <c r="B280" s="119" t="s">
        <v>1381</v>
      </c>
      <c r="C280" s="119" t="s">
        <v>1382</v>
      </c>
      <c r="D280" s="134"/>
      <c r="E280" s="129"/>
      <c r="F280" s="121">
        <v>2</v>
      </c>
      <c r="G280" s="122">
        <v>2</v>
      </c>
      <c r="H280" s="123">
        <f t="shared" si="10"/>
        <v>3</v>
      </c>
      <c r="I280" s="124" t="s">
        <v>1383</v>
      </c>
      <c r="J280" s="125">
        <v>2</v>
      </c>
      <c r="K280" s="122">
        <v>2</v>
      </c>
      <c r="L280" s="111">
        <f t="shared" si="13"/>
        <v>3</v>
      </c>
      <c r="M280" s="124" t="s">
        <v>749</v>
      </c>
      <c r="N280" s="111">
        <v>3</v>
      </c>
      <c r="O280" s="111" t="s">
        <v>47</v>
      </c>
      <c r="P280" s="145"/>
      <c r="Q280" s="128"/>
      <c r="R280" s="128"/>
      <c r="S280" s="128"/>
      <c r="T280" s="128"/>
      <c r="U280" s="128"/>
      <c r="V280" s="128"/>
      <c r="W280" s="128"/>
      <c r="X280" s="128"/>
    </row>
    <row r="281" spans="1:24" ht="36">
      <c r="A281" s="118" t="s">
        <v>435</v>
      </c>
      <c r="B281" s="119" t="s">
        <v>1384</v>
      </c>
      <c r="C281" s="119" t="s">
        <v>1385</v>
      </c>
      <c r="D281" s="134"/>
      <c r="E281" s="120" t="s">
        <v>1386</v>
      </c>
      <c r="F281" s="121">
        <v>2</v>
      </c>
      <c r="G281" s="122">
        <v>2</v>
      </c>
      <c r="H281" s="123">
        <f t="shared" si="10"/>
        <v>3</v>
      </c>
      <c r="I281" s="124" t="s">
        <v>444</v>
      </c>
      <c r="J281" s="125">
        <v>2</v>
      </c>
      <c r="K281" s="122">
        <v>2</v>
      </c>
      <c r="L281" s="111">
        <f t="shared" si="13"/>
        <v>3</v>
      </c>
      <c r="M281" s="124" t="s">
        <v>1387</v>
      </c>
      <c r="N281" s="111">
        <v>3</v>
      </c>
      <c r="O281" s="111" t="s">
        <v>47</v>
      </c>
      <c r="P281" s="136"/>
      <c r="Q281" s="128"/>
      <c r="R281" s="128"/>
      <c r="S281" s="128"/>
      <c r="T281" s="128"/>
      <c r="U281" s="128"/>
      <c r="V281" s="128"/>
      <c r="W281" s="128"/>
      <c r="X281" s="128"/>
    </row>
    <row r="282" spans="1:24" ht="72">
      <c r="A282" s="118" t="s">
        <v>435</v>
      </c>
      <c r="B282" s="119" t="s">
        <v>1388</v>
      </c>
      <c r="C282" s="119" t="s">
        <v>1389</v>
      </c>
      <c r="D282" s="134"/>
      <c r="E282" s="120" t="s">
        <v>1390</v>
      </c>
      <c r="F282" s="121">
        <v>2</v>
      </c>
      <c r="G282" s="122">
        <v>2</v>
      </c>
      <c r="H282" s="123">
        <f t="shared" si="10"/>
        <v>3</v>
      </c>
      <c r="I282" s="124" t="s">
        <v>1391</v>
      </c>
      <c r="J282" s="125">
        <v>2</v>
      </c>
      <c r="K282" s="122">
        <v>2</v>
      </c>
      <c r="L282" s="111">
        <f t="shared" si="13"/>
        <v>3</v>
      </c>
      <c r="M282" s="124" t="s">
        <v>1392</v>
      </c>
      <c r="N282" s="111">
        <v>3</v>
      </c>
      <c r="O282" s="111" t="s">
        <v>47</v>
      </c>
      <c r="P282" s="136"/>
      <c r="Q282" s="128"/>
      <c r="R282" s="128"/>
      <c r="S282" s="128"/>
      <c r="T282" s="128"/>
      <c r="U282" s="128"/>
      <c r="V282" s="128"/>
      <c r="W282" s="128"/>
      <c r="X282" s="128"/>
    </row>
    <row r="283" spans="1:24" ht="36">
      <c r="A283" s="118" t="s">
        <v>450</v>
      </c>
      <c r="B283" s="119" t="s">
        <v>1393</v>
      </c>
      <c r="C283" s="119" t="s">
        <v>1394</v>
      </c>
      <c r="D283" s="118"/>
      <c r="E283" s="129"/>
      <c r="F283" s="121">
        <v>2</v>
      </c>
      <c r="G283" s="122">
        <v>2</v>
      </c>
      <c r="H283" s="123">
        <f t="shared" si="10"/>
        <v>3</v>
      </c>
      <c r="I283" s="124" t="s">
        <v>1395</v>
      </c>
      <c r="J283" s="125">
        <v>2</v>
      </c>
      <c r="K283" s="122">
        <v>2</v>
      </c>
      <c r="L283" s="111">
        <f t="shared" si="13"/>
        <v>3</v>
      </c>
      <c r="M283" s="144"/>
      <c r="N283" s="111">
        <v>3</v>
      </c>
      <c r="O283" s="111" t="s">
        <v>47</v>
      </c>
      <c r="P283" s="136"/>
      <c r="Q283" s="128"/>
      <c r="R283" s="128"/>
      <c r="S283" s="128"/>
      <c r="T283" s="128"/>
      <c r="U283" s="128"/>
      <c r="V283" s="128"/>
      <c r="W283" s="128"/>
      <c r="X283" s="128"/>
    </row>
    <row r="284" spans="1:24" ht="36">
      <c r="A284" s="118" t="s">
        <v>435</v>
      </c>
      <c r="B284" s="119" t="s">
        <v>1396</v>
      </c>
      <c r="C284" s="119" t="s">
        <v>1397</v>
      </c>
      <c r="D284" s="118"/>
      <c r="E284" s="120" t="s">
        <v>1398</v>
      </c>
      <c r="F284" s="121">
        <v>2</v>
      </c>
      <c r="G284" s="122">
        <v>2</v>
      </c>
      <c r="H284" s="123">
        <f t="shared" si="10"/>
        <v>3</v>
      </c>
      <c r="I284" s="124" t="s">
        <v>947</v>
      </c>
      <c r="J284" s="125">
        <v>2</v>
      </c>
      <c r="K284" s="122">
        <v>2</v>
      </c>
      <c r="L284" s="111">
        <f t="shared" si="13"/>
        <v>3</v>
      </c>
      <c r="M284" s="124" t="s">
        <v>1399</v>
      </c>
      <c r="N284" s="111">
        <v>3</v>
      </c>
      <c r="O284" s="111" t="s">
        <v>47</v>
      </c>
      <c r="P284" s="136"/>
      <c r="Q284" s="128"/>
      <c r="R284" s="128"/>
      <c r="S284" s="128"/>
      <c r="T284" s="128"/>
      <c r="U284" s="128"/>
      <c r="V284" s="128"/>
      <c r="W284" s="128"/>
      <c r="X284" s="128"/>
    </row>
    <row r="285" spans="1:24" ht="36">
      <c r="A285" s="118" t="s">
        <v>435</v>
      </c>
      <c r="B285" s="119" t="s">
        <v>1400</v>
      </c>
      <c r="C285" s="119" t="s">
        <v>1092</v>
      </c>
      <c r="D285" s="118"/>
      <c r="E285" s="129"/>
      <c r="F285" s="121">
        <v>2</v>
      </c>
      <c r="G285" s="122">
        <v>2</v>
      </c>
      <c r="H285" s="123">
        <f t="shared" si="10"/>
        <v>3</v>
      </c>
      <c r="I285" s="124" t="s">
        <v>671</v>
      </c>
      <c r="J285" s="125">
        <v>2</v>
      </c>
      <c r="K285" s="122">
        <v>2</v>
      </c>
      <c r="L285" s="111">
        <f t="shared" si="13"/>
        <v>3</v>
      </c>
      <c r="M285" s="124" t="s">
        <v>671</v>
      </c>
      <c r="N285" s="111">
        <v>3</v>
      </c>
      <c r="O285" s="111" t="s">
        <v>47</v>
      </c>
      <c r="P285" s="136"/>
      <c r="Q285" s="128"/>
      <c r="R285" s="128"/>
      <c r="S285" s="128"/>
      <c r="T285" s="128"/>
      <c r="U285" s="128"/>
      <c r="V285" s="128"/>
      <c r="W285" s="128"/>
      <c r="X285" s="128"/>
    </row>
    <row r="286" spans="1:24" ht="60">
      <c r="A286" s="118" t="s">
        <v>435</v>
      </c>
      <c r="B286" s="119" t="s">
        <v>1401</v>
      </c>
      <c r="C286" s="119" t="s">
        <v>1402</v>
      </c>
      <c r="D286" s="134"/>
      <c r="E286" s="129"/>
      <c r="F286" s="121">
        <v>2</v>
      </c>
      <c r="G286" s="122">
        <v>2</v>
      </c>
      <c r="H286" s="123">
        <f t="shared" si="10"/>
        <v>3</v>
      </c>
      <c r="I286" s="124" t="s">
        <v>983</v>
      </c>
      <c r="J286" s="125">
        <v>2</v>
      </c>
      <c r="K286" s="122">
        <v>2</v>
      </c>
      <c r="L286" s="111">
        <f t="shared" si="13"/>
        <v>3</v>
      </c>
      <c r="M286" s="124" t="s">
        <v>921</v>
      </c>
      <c r="N286" s="111">
        <v>3</v>
      </c>
      <c r="O286" s="111" t="s">
        <v>47</v>
      </c>
      <c r="P286" s="136"/>
      <c r="Q286" s="128"/>
      <c r="R286" s="128"/>
      <c r="S286" s="128"/>
      <c r="T286" s="128"/>
      <c r="U286" s="128"/>
      <c r="V286" s="128"/>
      <c r="W286" s="128"/>
      <c r="X286" s="128"/>
    </row>
    <row r="287" spans="1:24" ht="36">
      <c r="A287" s="118" t="s">
        <v>435</v>
      </c>
      <c r="B287" s="119" t="s">
        <v>1403</v>
      </c>
      <c r="C287" s="119" t="s">
        <v>1404</v>
      </c>
      <c r="D287" s="134"/>
      <c r="E287" s="120" t="s">
        <v>1405</v>
      </c>
      <c r="F287" s="121">
        <v>2</v>
      </c>
      <c r="G287" s="122">
        <v>2</v>
      </c>
      <c r="H287" s="123">
        <f t="shared" si="10"/>
        <v>3</v>
      </c>
      <c r="I287" s="124" t="s">
        <v>448</v>
      </c>
      <c r="J287" s="125">
        <v>2</v>
      </c>
      <c r="K287" s="122">
        <v>2</v>
      </c>
      <c r="L287" s="111">
        <f t="shared" si="13"/>
        <v>3</v>
      </c>
      <c r="M287" s="124" t="s">
        <v>921</v>
      </c>
      <c r="N287" s="111">
        <v>3</v>
      </c>
      <c r="O287" s="111" t="s">
        <v>47</v>
      </c>
      <c r="P287" s="136"/>
      <c r="Q287" s="128"/>
      <c r="R287" s="128"/>
      <c r="S287" s="128"/>
      <c r="T287" s="128"/>
      <c r="U287" s="128"/>
      <c r="V287" s="128"/>
      <c r="W287" s="128"/>
      <c r="X287" s="128"/>
    </row>
    <row r="288" spans="1:24" ht="48">
      <c r="A288" s="118" t="s">
        <v>435</v>
      </c>
      <c r="B288" s="119" t="s">
        <v>1406</v>
      </c>
      <c r="C288" s="119" t="s">
        <v>1407</v>
      </c>
      <c r="D288" s="134"/>
      <c r="E288" s="120" t="s">
        <v>487</v>
      </c>
      <c r="F288" s="121">
        <v>2</v>
      </c>
      <c r="G288" s="122">
        <v>2</v>
      </c>
      <c r="H288" s="123">
        <f t="shared" si="10"/>
        <v>3</v>
      </c>
      <c r="I288" s="124" t="s">
        <v>482</v>
      </c>
      <c r="J288" s="125">
        <v>2</v>
      </c>
      <c r="K288" s="122">
        <v>2</v>
      </c>
      <c r="L288" s="111">
        <f t="shared" si="13"/>
        <v>3</v>
      </c>
      <c r="M288" s="124" t="s">
        <v>774</v>
      </c>
      <c r="N288" s="111">
        <v>3</v>
      </c>
      <c r="O288" s="111" t="s">
        <v>47</v>
      </c>
      <c r="P288" s="136"/>
      <c r="Q288" s="128"/>
      <c r="R288" s="128"/>
      <c r="S288" s="128"/>
      <c r="T288" s="128"/>
      <c r="U288" s="128"/>
      <c r="V288" s="128"/>
      <c r="W288" s="128"/>
      <c r="X288" s="128"/>
    </row>
    <row r="289" spans="1:24" ht="36">
      <c r="A289" s="118" t="s">
        <v>435</v>
      </c>
      <c r="B289" s="119" t="s">
        <v>1408</v>
      </c>
      <c r="C289" s="119" t="s">
        <v>1409</v>
      </c>
      <c r="D289" s="118"/>
      <c r="E289" s="120" t="s">
        <v>1410</v>
      </c>
      <c r="F289" s="121">
        <v>2</v>
      </c>
      <c r="G289" s="122">
        <v>2</v>
      </c>
      <c r="H289" s="123">
        <f t="shared" si="10"/>
        <v>3</v>
      </c>
      <c r="I289" s="124" t="s">
        <v>1191</v>
      </c>
      <c r="J289" s="125">
        <v>2</v>
      </c>
      <c r="K289" s="122">
        <v>2</v>
      </c>
      <c r="L289" s="111">
        <f t="shared" si="13"/>
        <v>3</v>
      </c>
      <c r="M289" s="124" t="s">
        <v>921</v>
      </c>
      <c r="N289" s="111">
        <v>3</v>
      </c>
      <c r="O289" s="111" t="s">
        <v>47</v>
      </c>
      <c r="P289" s="136"/>
      <c r="Q289" s="128"/>
      <c r="R289" s="128"/>
      <c r="S289" s="128"/>
      <c r="T289" s="128"/>
      <c r="U289" s="128"/>
      <c r="V289" s="128"/>
      <c r="W289" s="128"/>
      <c r="X289" s="128"/>
    </row>
    <row r="290" spans="1:24" ht="48">
      <c r="A290" s="118" t="s">
        <v>435</v>
      </c>
      <c r="B290" s="119" t="s">
        <v>1411</v>
      </c>
      <c r="C290" s="119" t="s">
        <v>1350</v>
      </c>
      <c r="D290" s="118"/>
      <c r="E290" s="120" t="s">
        <v>1412</v>
      </c>
      <c r="F290" s="121">
        <v>2</v>
      </c>
      <c r="G290" s="122">
        <v>2</v>
      </c>
      <c r="H290" s="123">
        <f t="shared" si="10"/>
        <v>3</v>
      </c>
      <c r="I290" s="124" t="s">
        <v>1413</v>
      </c>
      <c r="J290" s="125">
        <v>2</v>
      </c>
      <c r="K290" s="122">
        <v>2</v>
      </c>
      <c r="L290" s="111">
        <f t="shared" si="13"/>
        <v>3</v>
      </c>
      <c r="M290" s="124" t="s">
        <v>921</v>
      </c>
      <c r="N290" s="111">
        <v>3</v>
      </c>
      <c r="O290" s="111" t="s">
        <v>47</v>
      </c>
      <c r="P290" s="136"/>
      <c r="Q290" s="128"/>
      <c r="R290" s="128"/>
      <c r="S290" s="128"/>
      <c r="T290" s="128"/>
      <c r="U290" s="128"/>
      <c r="V290" s="128"/>
      <c r="W290" s="128"/>
      <c r="X290" s="128"/>
    </row>
    <row r="291" spans="1:24" ht="36">
      <c r="A291" s="118" t="s">
        <v>435</v>
      </c>
      <c r="B291" s="119" t="s">
        <v>1414</v>
      </c>
      <c r="C291" s="119" t="s">
        <v>862</v>
      </c>
      <c r="D291" s="134"/>
      <c r="E291" s="120" t="s">
        <v>1415</v>
      </c>
      <c r="F291" s="121">
        <v>2</v>
      </c>
      <c r="G291" s="122">
        <v>2</v>
      </c>
      <c r="H291" s="123">
        <f t="shared" si="10"/>
        <v>3</v>
      </c>
      <c r="I291" s="124" t="s">
        <v>1416</v>
      </c>
      <c r="J291" s="125">
        <v>2</v>
      </c>
      <c r="K291" s="122">
        <v>2</v>
      </c>
      <c r="L291" s="111">
        <f t="shared" si="13"/>
        <v>3</v>
      </c>
      <c r="M291" s="124" t="s">
        <v>921</v>
      </c>
      <c r="N291" s="111">
        <v>3</v>
      </c>
      <c r="O291" s="111" t="s">
        <v>47</v>
      </c>
      <c r="P291" s="136"/>
      <c r="Q291" s="128"/>
      <c r="R291" s="128"/>
      <c r="S291" s="128"/>
      <c r="T291" s="128"/>
      <c r="U291" s="128"/>
      <c r="V291" s="128"/>
      <c r="W291" s="128"/>
      <c r="X291" s="128"/>
    </row>
    <row r="292" spans="1:24" ht="24">
      <c r="A292" s="118" t="s">
        <v>435</v>
      </c>
      <c r="B292" s="119" t="s">
        <v>1417</v>
      </c>
      <c r="C292" s="119" t="s">
        <v>1418</v>
      </c>
      <c r="D292" s="118"/>
      <c r="E292" s="120" t="s">
        <v>1419</v>
      </c>
      <c r="F292" s="121">
        <v>2</v>
      </c>
      <c r="G292" s="122">
        <v>2</v>
      </c>
      <c r="H292" s="123">
        <f t="shared" si="10"/>
        <v>3</v>
      </c>
      <c r="I292" s="124" t="s">
        <v>482</v>
      </c>
      <c r="J292" s="125">
        <v>2</v>
      </c>
      <c r="K292" s="122">
        <v>2</v>
      </c>
      <c r="L292" s="111">
        <f t="shared" si="13"/>
        <v>3</v>
      </c>
      <c r="M292" s="124" t="s">
        <v>921</v>
      </c>
      <c r="N292" s="111">
        <v>3</v>
      </c>
      <c r="O292" s="111" t="s">
        <v>47</v>
      </c>
      <c r="P292" s="136"/>
      <c r="Q292" s="128"/>
      <c r="R292" s="128"/>
      <c r="S292" s="128"/>
      <c r="T292" s="128"/>
      <c r="U292" s="128"/>
      <c r="V292" s="128"/>
      <c r="W292" s="128"/>
      <c r="X292" s="128"/>
    </row>
    <row r="293" spans="1:24" ht="48">
      <c r="A293" s="118" t="s">
        <v>435</v>
      </c>
      <c r="B293" s="119" t="s">
        <v>1420</v>
      </c>
      <c r="C293" s="119" t="s">
        <v>1421</v>
      </c>
      <c r="D293" s="118"/>
      <c r="E293" s="129"/>
      <c r="F293" s="121">
        <v>2</v>
      </c>
      <c r="G293" s="122">
        <v>2</v>
      </c>
      <c r="H293" s="123">
        <f t="shared" si="10"/>
        <v>3</v>
      </c>
      <c r="I293" s="124" t="s">
        <v>1422</v>
      </c>
      <c r="J293" s="125">
        <v>1</v>
      </c>
      <c r="K293" s="122">
        <v>1</v>
      </c>
      <c r="L293" s="111">
        <f t="shared" si="13"/>
        <v>1</v>
      </c>
      <c r="M293" s="124" t="s">
        <v>515</v>
      </c>
      <c r="N293" s="111">
        <v>3</v>
      </c>
      <c r="O293" s="111" t="s">
        <v>47</v>
      </c>
      <c r="P293" s="136"/>
      <c r="Q293" s="128"/>
      <c r="R293" s="128"/>
      <c r="S293" s="128"/>
      <c r="T293" s="128"/>
      <c r="U293" s="128"/>
      <c r="V293" s="128"/>
      <c r="W293" s="128"/>
      <c r="X293" s="128"/>
    </row>
    <row r="294" spans="1:24" ht="36">
      <c r="A294" s="118" t="s">
        <v>435</v>
      </c>
      <c r="B294" s="119" t="s">
        <v>1423</v>
      </c>
      <c r="C294" s="119" t="s">
        <v>1424</v>
      </c>
      <c r="D294" s="118"/>
      <c r="E294" s="120" t="s">
        <v>1425</v>
      </c>
      <c r="F294" s="121">
        <v>2</v>
      </c>
      <c r="G294" s="122">
        <v>2</v>
      </c>
      <c r="H294" s="123">
        <f t="shared" ref="H294:H357" si="14">(F294+G294)-1</f>
        <v>3</v>
      </c>
      <c r="I294" s="124" t="s">
        <v>1228</v>
      </c>
      <c r="J294" s="125">
        <v>2</v>
      </c>
      <c r="K294" s="122">
        <v>2</v>
      </c>
      <c r="L294" s="111">
        <f t="shared" si="13"/>
        <v>3</v>
      </c>
      <c r="M294" s="124" t="s">
        <v>1426</v>
      </c>
      <c r="N294" s="111">
        <v>3</v>
      </c>
      <c r="O294" s="111" t="s">
        <v>47</v>
      </c>
      <c r="P294" s="136"/>
      <c r="Q294" s="128"/>
      <c r="R294" s="128"/>
      <c r="S294" s="128"/>
      <c r="T294" s="128"/>
      <c r="U294" s="128"/>
      <c r="V294" s="128"/>
      <c r="W294" s="128"/>
      <c r="X294" s="128"/>
    </row>
    <row r="295" spans="1:24" ht="48">
      <c r="A295" s="118" t="s">
        <v>435</v>
      </c>
      <c r="B295" s="119" t="s">
        <v>1427</v>
      </c>
      <c r="C295" s="119" t="s">
        <v>1428</v>
      </c>
      <c r="D295" s="118"/>
      <c r="E295" s="129"/>
      <c r="F295" s="121">
        <v>1</v>
      </c>
      <c r="G295" s="122">
        <v>2</v>
      </c>
      <c r="H295" s="123">
        <f t="shared" si="14"/>
        <v>2</v>
      </c>
      <c r="I295" s="124" t="s">
        <v>1429</v>
      </c>
      <c r="J295" s="125">
        <v>2</v>
      </c>
      <c r="K295" s="122">
        <v>2</v>
      </c>
      <c r="L295" s="111">
        <f t="shared" si="13"/>
        <v>3</v>
      </c>
      <c r="M295" s="124" t="s">
        <v>774</v>
      </c>
      <c r="N295" s="111">
        <v>3</v>
      </c>
      <c r="O295" s="111" t="s">
        <v>47</v>
      </c>
      <c r="P295" s="136"/>
      <c r="Q295" s="128"/>
      <c r="R295" s="128"/>
      <c r="S295" s="128"/>
      <c r="T295" s="128"/>
      <c r="U295" s="128"/>
      <c r="V295" s="128"/>
      <c r="W295" s="128"/>
      <c r="X295" s="128"/>
    </row>
    <row r="296" spans="1:24" ht="36">
      <c r="A296" s="118" t="s">
        <v>435</v>
      </c>
      <c r="B296" s="119" t="s">
        <v>1430</v>
      </c>
      <c r="C296" s="119" t="s">
        <v>1431</v>
      </c>
      <c r="D296" s="118"/>
      <c r="E296" s="129"/>
      <c r="F296" s="121">
        <v>2</v>
      </c>
      <c r="G296" s="122">
        <v>2</v>
      </c>
      <c r="H296" s="123">
        <f t="shared" si="14"/>
        <v>3</v>
      </c>
      <c r="I296" s="124" t="s">
        <v>1432</v>
      </c>
      <c r="J296" s="125">
        <v>2</v>
      </c>
      <c r="K296" s="122">
        <v>2</v>
      </c>
      <c r="L296" s="111">
        <f t="shared" si="13"/>
        <v>3</v>
      </c>
      <c r="M296" s="124" t="s">
        <v>778</v>
      </c>
      <c r="N296" s="111">
        <v>3</v>
      </c>
      <c r="O296" s="111" t="s">
        <v>47</v>
      </c>
      <c r="P296" s="136"/>
      <c r="Q296" s="128"/>
      <c r="R296" s="128"/>
      <c r="S296" s="128"/>
      <c r="T296" s="128"/>
      <c r="U296" s="128"/>
      <c r="V296" s="128"/>
      <c r="W296" s="128"/>
      <c r="X296" s="128"/>
    </row>
    <row r="297" spans="1:24" ht="36">
      <c r="A297" s="118" t="s">
        <v>435</v>
      </c>
      <c r="B297" s="119" t="s">
        <v>1433</v>
      </c>
      <c r="C297" s="119" t="s">
        <v>1234</v>
      </c>
      <c r="D297" s="134"/>
      <c r="E297" s="120" t="s">
        <v>1434</v>
      </c>
      <c r="F297" s="121">
        <v>2</v>
      </c>
      <c r="G297" s="122">
        <v>2</v>
      </c>
      <c r="H297" s="123">
        <f t="shared" si="14"/>
        <v>3</v>
      </c>
      <c r="I297" s="124" t="s">
        <v>1118</v>
      </c>
      <c r="J297" s="125">
        <v>2</v>
      </c>
      <c r="K297" s="122">
        <v>2</v>
      </c>
      <c r="L297" s="111">
        <f t="shared" si="13"/>
        <v>3</v>
      </c>
      <c r="M297" s="124" t="s">
        <v>774</v>
      </c>
      <c r="N297" s="111">
        <v>3</v>
      </c>
      <c r="O297" s="111" t="s">
        <v>47</v>
      </c>
      <c r="P297" s="136"/>
      <c r="Q297" s="128"/>
      <c r="R297" s="128"/>
      <c r="S297" s="128"/>
      <c r="T297" s="128"/>
      <c r="U297" s="128"/>
      <c r="V297" s="128"/>
      <c r="W297" s="128"/>
      <c r="X297" s="128"/>
    </row>
    <row r="298" spans="1:24" ht="24">
      <c r="A298" s="118" t="s">
        <v>435</v>
      </c>
      <c r="B298" s="119" t="s">
        <v>1435</v>
      </c>
      <c r="C298" s="119" t="s">
        <v>1436</v>
      </c>
      <c r="D298" s="134"/>
      <c r="E298" s="129"/>
      <c r="F298" s="121">
        <v>2</v>
      </c>
      <c r="G298" s="122">
        <v>2</v>
      </c>
      <c r="H298" s="123">
        <f t="shared" si="14"/>
        <v>3</v>
      </c>
      <c r="I298" s="124" t="s">
        <v>1437</v>
      </c>
      <c r="J298" s="125">
        <v>2</v>
      </c>
      <c r="K298" s="122">
        <v>2</v>
      </c>
      <c r="L298" s="111">
        <f t="shared" si="13"/>
        <v>3</v>
      </c>
      <c r="M298" s="124" t="s">
        <v>774</v>
      </c>
      <c r="N298" s="111">
        <v>3</v>
      </c>
      <c r="O298" s="111" t="s">
        <v>47</v>
      </c>
      <c r="P298" s="136"/>
      <c r="Q298" s="128"/>
      <c r="R298" s="128"/>
      <c r="S298" s="128"/>
      <c r="T298" s="128"/>
      <c r="U298" s="128"/>
      <c r="V298" s="128"/>
      <c r="W298" s="128"/>
      <c r="X298" s="128"/>
    </row>
    <row r="299" spans="1:24" ht="36">
      <c r="A299" s="118" t="s">
        <v>435</v>
      </c>
      <c r="B299" s="119" t="s">
        <v>1438</v>
      </c>
      <c r="C299" s="119" t="s">
        <v>1439</v>
      </c>
      <c r="D299" s="118"/>
      <c r="E299" s="120" t="s">
        <v>1440</v>
      </c>
      <c r="F299" s="121">
        <v>2</v>
      </c>
      <c r="G299" s="122">
        <v>2</v>
      </c>
      <c r="H299" s="123">
        <f t="shared" si="14"/>
        <v>3</v>
      </c>
      <c r="I299" s="124" t="s">
        <v>947</v>
      </c>
      <c r="J299" s="125">
        <v>2</v>
      </c>
      <c r="K299" s="122">
        <v>2</v>
      </c>
      <c r="L299" s="111">
        <f t="shared" si="13"/>
        <v>3</v>
      </c>
      <c r="M299" s="124" t="s">
        <v>921</v>
      </c>
      <c r="N299" s="111">
        <v>3</v>
      </c>
      <c r="O299" s="111" t="s">
        <v>47</v>
      </c>
      <c r="P299" s="136"/>
      <c r="Q299" s="128"/>
      <c r="R299" s="128"/>
      <c r="S299" s="128"/>
      <c r="T299" s="128"/>
      <c r="U299" s="128"/>
      <c r="V299" s="128"/>
      <c r="W299" s="128"/>
      <c r="X299" s="128"/>
    </row>
    <row r="300" spans="1:24" ht="48">
      <c r="A300" s="118" t="s">
        <v>435</v>
      </c>
      <c r="B300" s="119" t="s">
        <v>1441</v>
      </c>
      <c r="C300" s="119" t="s">
        <v>1442</v>
      </c>
      <c r="D300" s="118"/>
      <c r="E300" s="129"/>
      <c r="F300" s="121">
        <v>2</v>
      </c>
      <c r="G300" s="122">
        <v>2</v>
      </c>
      <c r="H300" s="123">
        <f t="shared" si="14"/>
        <v>3</v>
      </c>
      <c r="I300" s="124" t="s">
        <v>983</v>
      </c>
      <c r="J300" s="125">
        <v>2</v>
      </c>
      <c r="K300" s="122">
        <v>2</v>
      </c>
      <c r="L300" s="111">
        <f t="shared" si="13"/>
        <v>3</v>
      </c>
      <c r="M300" s="124" t="s">
        <v>921</v>
      </c>
      <c r="N300" s="111">
        <v>3</v>
      </c>
      <c r="O300" s="111" t="s">
        <v>47</v>
      </c>
      <c r="P300" s="136"/>
      <c r="Q300" s="128"/>
      <c r="R300" s="128"/>
      <c r="S300" s="128"/>
      <c r="T300" s="128"/>
      <c r="U300" s="128"/>
      <c r="V300" s="128"/>
      <c r="W300" s="128"/>
      <c r="X300" s="128"/>
    </row>
    <row r="301" spans="1:24" ht="60">
      <c r="A301" s="118" t="s">
        <v>435</v>
      </c>
      <c r="B301" s="119" t="s">
        <v>1443</v>
      </c>
      <c r="C301" s="119" t="s">
        <v>1444</v>
      </c>
      <c r="D301" s="134"/>
      <c r="E301" s="129"/>
      <c r="F301" s="121">
        <v>2</v>
      </c>
      <c r="G301" s="122">
        <v>2</v>
      </c>
      <c r="H301" s="123">
        <f t="shared" si="14"/>
        <v>3</v>
      </c>
      <c r="I301" s="124" t="s">
        <v>1445</v>
      </c>
      <c r="J301" s="125">
        <v>2</v>
      </c>
      <c r="K301" s="122">
        <v>2</v>
      </c>
      <c r="L301" s="111">
        <f t="shared" si="13"/>
        <v>3</v>
      </c>
      <c r="M301" s="124" t="s">
        <v>921</v>
      </c>
      <c r="N301" s="111">
        <v>3</v>
      </c>
      <c r="O301" s="111" t="s">
        <v>47</v>
      </c>
      <c r="P301" s="136"/>
      <c r="Q301" s="128"/>
      <c r="R301" s="128"/>
      <c r="S301" s="128"/>
      <c r="T301" s="128"/>
      <c r="U301" s="128"/>
      <c r="V301" s="128"/>
      <c r="W301" s="128"/>
      <c r="X301" s="128"/>
    </row>
    <row r="302" spans="1:24" ht="36">
      <c r="A302" s="118" t="s">
        <v>435</v>
      </c>
      <c r="B302" s="119" t="s">
        <v>1446</v>
      </c>
      <c r="C302" s="119" t="s">
        <v>1447</v>
      </c>
      <c r="D302" s="118"/>
      <c r="E302" s="120" t="s">
        <v>1448</v>
      </c>
      <c r="F302" s="121">
        <v>2</v>
      </c>
      <c r="G302" s="122">
        <v>2</v>
      </c>
      <c r="H302" s="123">
        <f t="shared" si="14"/>
        <v>3</v>
      </c>
      <c r="I302" s="124" t="s">
        <v>1449</v>
      </c>
      <c r="J302" s="125">
        <v>2</v>
      </c>
      <c r="K302" s="122">
        <v>2</v>
      </c>
      <c r="L302" s="111">
        <f t="shared" si="13"/>
        <v>3</v>
      </c>
      <c r="M302" s="124" t="s">
        <v>921</v>
      </c>
      <c r="N302" s="111">
        <v>3</v>
      </c>
      <c r="O302" s="111" t="s">
        <v>47</v>
      </c>
      <c r="P302" s="136"/>
      <c r="Q302" s="128"/>
      <c r="R302" s="128"/>
      <c r="S302" s="128"/>
      <c r="T302" s="128"/>
      <c r="U302" s="128"/>
      <c r="V302" s="128"/>
      <c r="W302" s="128"/>
      <c r="X302" s="128"/>
    </row>
    <row r="303" spans="1:24" ht="24">
      <c r="A303" s="118" t="s">
        <v>435</v>
      </c>
      <c r="B303" s="119" t="s">
        <v>1450</v>
      </c>
      <c r="C303" s="119" t="s">
        <v>1451</v>
      </c>
      <c r="D303" s="134"/>
      <c r="E303" s="120" t="s">
        <v>1452</v>
      </c>
      <c r="F303" s="121">
        <v>2</v>
      </c>
      <c r="G303" s="122">
        <v>2</v>
      </c>
      <c r="H303" s="123">
        <f t="shared" si="14"/>
        <v>3</v>
      </c>
      <c r="I303" s="124" t="s">
        <v>444</v>
      </c>
      <c r="J303" s="125">
        <v>2</v>
      </c>
      <c r="K303" s="122">
        <v>2</v>
      </c>
      <c r="L303" s="111">
        <f t="shared" si="13"/>
        <v>3</v>
      </c>
      <c r="M303" s="124" t="s">
        <v>778</v>
      </c>
      <c r="N303" s="111">
        <v>3</v>
      </c>
      <c r="O303" s="111" t="s">
        <v>47</v>
      </c>
      <c r="P303" s="136"/>
      <c r="Q303" s="128"/>
      <c r="R303" s="128"/>
      <c r="S303" s="128"/>
      <c r="T303" s="128"/>
      <c r="U303" s="128"/>
      <c r="V303" s="128"/>
      <c r="W303" s="128"/>
      <c r="X303" s="128"/>
    </row>
    <row r="304" spans="1:24" ht="48">
      <c r="A304" s="118" t="s">
        <v>435</v>
      </c>
      <c r="B304" s="119" t="s">
        <v>1453</v>
      </c>
      <c r="C304" s="142"/>
      <c r="D304" s="134"/>
      <c r="E304" s="120" t="s">
        <v>1454</v>
      </c>
      <c r="F304" s="121">
        <v>2</v>
      </c>
      <c r="G304" s="122">
        <v>2</v>
      </c>
      <c r="H304" s="123">
        <f t="shared" si="14"/>
        <v>3</v>
      </c>
      <c r="I304" s="124" t="s">
        <v>983</v>
      </c>
      <c r="J304" s="125">
        <v>2</v>
      </c>
      <c r="K304" s="122">
        <v>2</v>
      </c>
      <c r="L304" s="111">
        <f t="shared" si="13"/>
        <v>3</v>
      </c>
      <c r="M304" s="124" t="s">
        <v>1455</v>
      </c>
      <c r="N304" s="111">
        <v>3</v>
      </c>
      <c r="O304" s="111" t="s">
        <v>47</v>
      </c>
      <c r="P304" s="136"/>
      <c r="Q304" s="128"/>
      <c r="R304" s="128"/>
      <c r="S304" s="128"/>
      <c r="T304" s="128"/>
      <c r="U304" s="128"/>
      <c r="V304" s="128"/>
      <c r="W304" s="128"/>
      <c r="X304" s="128"/>
    </row>
    <row r="305" spans="1:24" ht="96">
      <c r="A305" s="118" t="s">
        <v>435</v>
      </c>
      <c r="B305" s="119" t="s">
        <v>1456</v>
      </c>
      <c r="C305" s="119" t="s">
        <v>1234</v>
      </c>
      <c r="D305" s="134"/>
      <c r="E305" s="120" t="s">
        <v>1457</v>
      </c>
      <c r="F305" s="121">
        <v>2</v>
      </c>
      <c r="G305" s="122">
        <v>2</v>
      </c>
      <c r="H305" s="123">
        <f t="shared" si="14"/>
        <v>3</v>
      </c>
      <c r="I305" s="124" t="s">
        <v>1458</v>
      </c>
      <c r="J305" s="125">
        <v>2</v>
      </c>
      <c r="K305" s="122">
        <v>2</v>
      </c>
      <c r="L305" s="111">
        <f t="shared" si="13"/>
        <v>3</v>
      </c>
      <c r="M305" s="124" t="s">
        <v>1459</v>
      </c>
      <c r="N305" s="111">
        <v>3</v>
      </c>
      <c r="O305" s="111" t="s">
        <v>47</v>
      </c>
      <c r="P305" s="136"/>
      <c r="Q305" s="128"/>
      <c r="R305" s="128"/>
      <c r="S305" s="128"/>
      <c r="T305" s="128"/>
      <c r="U305" s="128"/>
      <c r="V305" s="128"/>
      <c r="W305" s="128"/>
      <c r="X305" s="128"/>
    </row>
    <row r="306" spans="1:24" ht="24">
      <c r="A306" s="118" t="s">
        <v>435</v>
      </c>
      <c r="B306" s="119" t="s">
        <v>1460</v>
      </c>
      <c r="C306" s="119" t="s">
        <v>1461</v>
      </c>
      <c r="D306" s="134"/>
      <c r="E306" s="120" t="s">
        <v>1462</v>
      </c>
      <c r="F306" s="121">
        <v>2</v>
      </c>
      <c r="G306" s="122">
        <v>2</v>
      </c>
      <c r="H306" s="123">
        <f t="shared" si="14"/>
        <v>3</v>
      </c>
      <c r="I306" s="124" t="s">
        <v>733</v>
      </c>
      <c r="J306" s="125">
        <v>2</v>
      </c>
      <c r="K306" s="122">
        <v>1</v>
      </c>
      <c r="L306" s="111">
        <f t="shared" si="13"/>
        <v>2</v>
      </c>
      <c r="M306" s="124" t="s">
        <v>1463</v>
      </c>
      <c r="N306" s="111">
        <v>3</v>
      </c>
      <c r="O306" s="111" t="s">
        <v>47</v>
      </c>
      <c r="P306" s="136"/>
      <c r="Q306" s="128"/>
      <c r="R306" s="128"/>
      <c r="S306" s="128"/>
      <c r="T306" s="128"/>
      <c r="U306" s="128"/>
      <c r="V306" s="128"/>
      <c r="W306" s="128"/>
      <c r="X306" s="128"/>
    </row>
    <row r="307" spans="1:24" ht="24">
      <c r="A307" s="118" t="s">
        <v>435</v>
      </c>
      <c r="B307" s="119" t="s">
        <v>1464</v>
      </c>
      <c r="C307" s="142"/>
      <c r="D307" s="134"/>
      <c r="E307" s="129"/>
      <c r="F307" s="121">
        <v>1</v>
      </c>
      <c r="G307" s="122">
        <v>2</v>
      </c>
      <c r="H307" s="123">
        <f t="shared" si="14"/>
        <v>2</v>
      </c>
      <c r="I307" s="124" t="s">
        <v>1465</v>
      </c>
      <c r="J307" s="125">
        <v>2</v>
      </c>
      <c r="K307" s="122">
        <v>2</v>
      </c>
      <c r="L307" s="111">
        <f t="shared" si="13"/>
        <v>3</v>
      </c>
      <c r="M307" s="124" t="s">
        <v>778</v>
      </c>
      <c r="N307" s="111">
        <v>3</v>
      </c>
      <c r="O307" s="111" t="s">
        <v>47</v>
      </c>
      <c r="P307" s="136"/>
      <c r="Q307" s="128"/>
      <c r="R307" s="128"/>
      <c r="S307" s="128"/>
      <c r="T307" s="128"/>
      <c r="U307" s="128"/>
      <c r="V307" s="128"/>
      <c r="W307" s="128"/>
      <c r="X307" s="128"/>
    </row>
    <row r="308" spans="1:24" ht="36">
      <c r="A308" s="118" t="s">
        <v>435</v>
      </c>
      <c r="B308" s="119" t="s">
        <v>1466</v>
      </c>
      <c r="C308" s="119" t="s">
        <v>1467</v>
      </c>
      <c r="D308" s="118"/>
      <c r="E308" s="120" t="s">
        <v>1468</v>
      </c>
      <c r="F308" s="121">
        <v>2</v>
      </c>
      <c r="G308" s="122">
        <v>2</v>
      </c>
      <c r="H308" s="123">
        <f t="shared" si="14"/>
        <v>3</v>
      </c>
      <c r="I308" s="124" t="s">
        <v>947</v>
      </c>
      <c r="J308" s="125">
        <v>2</v>
      </c>
      <c r="K308" s="122">
        <v>2</v>
      </c>
      <c r="L308" s="111">
        <f t="shared" si="13"/>
        <v>3</v>
      </c>
      <c r="M308" s="124" t="s">
        <v>921</v>
      </c>
      <c r="N308" s="111">
        <v>3</v>
      </c>
      <c r="O308" s="111" t="s">
        <v>47</v>
      </c>
      <c r="P308" s="136"/>
      <c r="Q308" s="128"/>
      <c r="R308" s="128"/>
      <c r="S308" s="128"/>
      <c r="T308" s="128"/>
      <c r="U308" s="128"/>
      <c r="V308" s="128"/>
      <c r="W308" s="128"/>
      <c r="X308" s="128"/>
    </row>
    <row r="309" spans="1:24" ht="36">
      <c r="A309" s="118" t="s">
        <v>435</v>
      </c>
      <c r="B309" s="119" t="s">
        <v>1469</v>
      </c>
      <c r="C309" s="119" t="s">
        <v>1470</v>
      </c>
      <c r="D309" s="118"/>
      <c r="E309" s="120" t="s">
        <v>1471</v>
      </c>
      <c r="F309" s="121">
        <v>2</v>
      </c>
      <c r="G309" s="122">
        <v>2</v>
      </c>
      <c r="H309" s="123">
        <f t="shared" si="14"/>
        <v>3</v>
      </c>
      <c r="I309" s="124" t="s">
        <v>1118</v>
      </c>
      <c r="J309" s="125">
        <v>2</v>
      </c>
      <c r="K309" s="122">
        <v>2</v>
      </c>
      <c r="L309" s="111">
        <f t="shared" si="13"/>
        <v>3</v>
      </c>
      <c r="M309" s="124" t="s">
        <v>774</v>
      </c>
      <c r="N309" s="111">
        <v>3</v>
      </c>
      <c r="O309" s="111" t="s">
        <v>47</v>
      </c>
      <c r="P309" s="136"/>
      <c r="Q309" s="128"/>
      <c r="R309" s="128"/>
      <c r="S309" s="128"/>
      <c r="T309" s="128"/>
      <c r="U309" s="128"/>
      <c r="V309" s="128"/>
      <c r="W309" s="128"/>
      <c r="X309" s="128"/>
    </row>
    <row r="310" spans="1:24" ht="48">
      <c r="A310" s="118" t="s">
        <v>450</v>
      </c>
      <c r="B310" s="119" t="s">
        <v>1472</v>
      </c>
      <c r="C310" s="119" t="s">
        <v>1473</v>
      </c>
      <c r="D310" s="118"/>
      <c r="E310" s="129"/>
      <c r="F310" s="121">
        <v>2</v>
      </c>
      <c r="G310" s="122">
        <v>2</v>
      </c>
      <c r="H310" s="123">
        <f t="shared" si="14"/>
        <v>3</v>
      </c>
      <c r="I310" s="124" t="s">
        <v>1474</v>
      </c>
      <c r="J310" s="137" t="s">
        <v>441</v>
      </c>
      <c r="K310" s="138" t="s">
        <v>441</v>
      </c>
      <c r="L310" s="143" t="s">
        <v>441</v>
      </c>
      <c r="M310" s="124" t="s">
        <v>515</v>
      </c>
      <c r="N310" s="111">
        <v>3</v>
      </c>
      <c r="O310" s="111" t="s">
        <v>47</v>
      </c>
      <c r="P310" s="136"/>
      <c r="Q310" s="128"/>
      <c r="R310" s="128"/>
      <c r="S310" s="128"/>
      <c r="T310" s="128"/>
      <c r="U310" s="128"/>
      <c r="V310" s="128"/>
      <c r="W310" s="128"/>
      <c r="X310" s="128"/>
    </row>
    <row r="311" spans="1:24" ht="24">
      <c r="A311" s="118" t="s">
        <v>435</v>
      </c>
      <c r="B311" s="119" t="s">
        <v>1475</v>
      </c>
      <c r="C311" s="119" t="s">
        <v>1476</v>
      </c>
      <c r="D311" s="134"/>
      <c r="E311" s="120" t="s">
        <v>1477</v>
      </c>
      <c r="F311" s="121">
        <v>2</v>
      </c>
      <c r="G311" s="122">
        <v>2</v>
      </c>
      <c r="H311" s="123">
        <f t="shared" si="14"/>
        <v>3</v>
      </c>
      <c r="I311" s="124" t="s">
        <v>1478</v>
      </c>
      <c r="J311" s="137" t="s">
        <v>441</v>
      </c>
      <c r="K311" s="138" t="s">
        <v>441</v>
      </c>
      <c r="L311" s="143" t="s">
        <v>441</v>
      </c>
      <c r="M311" s="124" t="s">
        <v>515</v>
      </c>
      <c r="N311" s="111">
        <v>3</v>
      </c>
      <c r="O311" s="111" t="s">
        <v>47</v>
      </c>
      <c r="P311" s="136"/>
      <c r="Q311" s="128"/>
      <c r="R311" s="128"/>
      <c r="S311" s="128"/>
      <c r="T311" s="128"/>
      <c r="U311" s="128"/>
      <c r="V311" s="128"/>
      <c r="W311" s="128"/>
      <c r="X311" s="128"/>
    </row>
    <row r="312" spans="1:24" ht="48">
      <c r="A312" s="118" t="s">
        <v>435</v>
      </c>
      <c r="B312" s="119" t="s">
        <v>1479</v>
      </c>
      <c r="C312" s="119" t="s">
        <v>1480</v>
      </c>
      <c r="D312" s="134"/>
      <c r="E312" s="129"/>
      <c r="F312" s="121">
        <v>2</v>
      </c>
      <c r="G312" s="122">
        <v>2</v>
      </c>
      <c r="H312" s="123">
        <f t="shared" si="14"/>
        <v>3</v>
      </c>
      <c r="I312" s="124" t="s">
        <v>482</v>
      </c>
      <c r="J312" s="137" t="s">
        <v>441</v>
      </c>
      <c r="K312" s="138" t="s">
        <v>441</v>
      </c>
      <c r="L312" s="143" t="s">
        <v>441</v>
      </c>
      <c r="M312" s="124" t="s">
        <v>515</v>
      </c>
      <c r="N312" s="111">
        <v>3</v>
      </c>
      <c r="O312" s="111" t="s">
        <v>47</v>
      </c>
      <c r="P312" s="136"/>
      <c r="Q312" s="128"/>
      <c r="R312" s="128"/>
      <c r="S312" s="128"/>
      <c r="T312" s="128"/>
      <c r="U312" s="128"/>
      <c r="V312" s="128"/>
      <c r="W312" s="128"/>
      <c r="X312" s="128"/>
    </row>
    <row r="313" spans="1:24" ht="36">
      <c r="A313" s="118" t="s">
        <v>435</v>
      </c>
      <c r="B313" s="119" t="s">
        <v>1481</v>
      </c>
      <c r="C313" s="119" t="s">
        <v>1482</v>
      </c>
      <c r="D313" s="134"/>
      <c r="E313" s="129"/>
      <c r="F313" s="121">
        <v>2</v>
      </c>
      <c r="G313" s="122">
        <v>2</v>
      </c>
      <c r="H313" s="123">
        <f t="shared" si="14"/>
        <v>3</v>
      </c>
      <c r="I313" s="124" t="s">
        <v>733</v>
      </c>
      <c r="J313" s="137" t="s">
        <v>441</v>
      </c>
      <c r="K313" s="138" t="s">
        <v>441</v>
      </c>
      <c r="L313" s="143" t="s">
        <v>441</v>
      </c>
      <c r="M313" s="124" t="s">
        <v>515</v>
      </c>
      <c r="N313" s="111">
        <v>3</v>
      </c>
      <c r="O313" s="111" t="s">
        <v>47</v>
      </c>
      <c r="P313" s="136"/>
      <c r="Q313" s="128"/>
      <c r="R313" s="128"/>
      <c r="S313" s="128"/>
      <c r="T313" s="128"/>
      <c r="U313" s="128"/>
      <c r="V313" s="128"/>
      <c r="W313" s="128"/>
      <c r="X313" s="128"/>
    </row>
    <row r="314" spans="1:24" ht="36">
      <c r="A314" s="118" t="s">
        <v>435</v>
      </c>
      <c r="B314" s="119" t="s">
        <v>1483</v>
      </c>
      <c r="C314" s="119" t="s">
        <v>1484</v>
      </c>
      <c r="D314" s="134"/>
      <c r="E314" s="120" t="s">
        <v>1485</v>
      </c>
      <c r="F314" s="121">
        <v>2</v>
      </c>
      <c r="G314" s="122">
        <v>2</v>
      </c>
      <c r="H314" s="123">
        <f t="shared" si="14"/>
        <v>3</v>
      </c>
      <c r="I314" s="124" t="s">
        <v>1486</v>
      </c>
      <c r="J314" s="137" t="s">
        <v>441</v>
      </c>
      <c r="K314" s="138" t="s">
        <v>441</v>
      </c>
      <c r="L314" s="143" t="s">
        <v>441</v>
      </c>
      <c r="M314" s="124" t="s">
        <v>515</v>
      </c>
      <c r="N314" s="111">
        <v>3</v>
      </c>
      <c r="O314" s="111" t="s">
        <v>47</v>
      </c>
      <c r="P314" s="136"/>
      <c r="Q314" s="128"/>
      <c r="R314" s="128"/>
      <c r="S314" s="128"/>
      <c r="T314" s="128"/>
      <c r="U314" s="128"/>
      <c r="V314" s="128"/>
      <c r="W314" s="128"/>
      <c r="X314" s="128"/>
    </row>
    <row r="315" spans="1:24" ht="48">
      <c r="A315" s="118" t="s">
        <v>435</v>
      </c>
      <c r="B315" s="119" t="s">
        <v>1487</v>
      </c>
      <c r="C315" s="119" t="s">
        <v>1488</v>
      </c>
      <c r="D315" s="134"/>
      <c r="E315" s="129"/>
      <c r="F315" s="121">
        <v>2</v>
      </c>
      <c r="G315" s="122">
        <v>2</v>
      </c>
      <c r="H315" s="123">
        <f t="shared" si="14"/>
        <v>3</v>
      </c>
      <c r="I315" s="124" t="s">
        <v>733</v>
      </c>
      <c r="J315" s="137" t="s">
        <v>441</v>
      </c>
      <c r="K315" s="138" t="s">
        <v>441</v>
      </c>
      <c r="L315" s="143" t="s">
        <v>441</v>
      </c>
      <c r="M315" s="124" t="s">
        <v>515</v>
      </c>
      <c r="N315" s="111">
        <v>3</v>
      </c>
      <c r="O315" s="111" t="s">
        <v>47</v>
      </c>
      <c r="P315" s="136"/>
      <c r="Q315" s="128"/>
      <c r="R315" s="128"/>
      <c r="S315" s="128"/>
      <c r="T315" s="128"/>
      <c r="U315" s="128"/>
      <c r="V315" s="128"/>
      <c r="W315" s="128"/>
      <c r="X315" s="128"/>
    </row>
    <row r="316" spans="1:24" ht="24">
      <c r="A316" s="118" t="s">
        <v>435</v>
      </c>
      <c r="B316" s="119" t="s">
        <v>1489</v>
      </c>
      <c r="C316" s="119" t="s">
        <v>1490</v>
      </c>
      <c r="D316" s="134"/>
      <c r="E316" s="120" t="s">
        <v>1491</v>
      </c>
      <c r="F316" s="121">
        <v>2</v>
      </c>
      <c r="G316" s="122">
        <v>2</v>
      </c>
      <c r="H316" s="123">
        <f t="shared" si="14"/>
        <v>3</v>
      </c>
      <c r="I316" s="124" t="s">
        <v>709</v>
      </c>
      <c r="J316" s="137" t="s">
        <v>441</v>
      </c>
      <c r="K316" s="138" t="s">
        <v>441</v>
      </c>
      <c r="L316" s="143" t="s">
        <v>441</v>
      </c>
      <c r="M316" s="124" t="s">
        <v>515</v>
      </c>
      <c r="N316" s="111">
        <v>3</v>
      </c>
      <c r="O316" s="111" t="s">
        <v>47</v>
      </c>
      <c r="P316" s="136"/>
      <c r="Q316" s="128"/>
      <c r="R316" s="128"/>
      <c r="S316" s="128"/>
      <c r="T316" s="128"/>
      <c r="U316" s="128"/>
      <c r="V316" s="128"/>
      <c r="W316" s="128"/>
      <c r="X316" s="128"/>
    </row>
    <row r="317" spans="1:24" ht="36">
      <c r="A317" s="118" t="s">
        <v>435</v>
      </c>
      <c r="B317" s="119" t="s">
        <v>1492</v>
      </c>
      <c r="C317" s="119" t="s">
        <v>1493</v>
      </c>
      <c r="D317" s="118"/>
      <c r="E317" s="129"/>
      <c r="F317" s="121">
        <v>2</v>
      </c>
      <c r="G317" s="122">
        <v>2</v>
      </c>
      <c r="H317" s="123">
        <f t="shared" si="14"/>
        <v>3</v>
      </c>
      <c r="I317" s="124" t="s">
        <v>1494</v>
      </c>
      <c r="J317" s="137" t="s">
        <v>441</v>
      </c>
      <c r="K317" s="138" t="s">
        <v>441</v>
      </c>
      <c r="L317" s="143" t="s">
        <v>441</v>
      </c>
      <c r="M317" s="124" t="s">
        <v>515</v>
      </c>
      <c r="N317" s="111">
        <v>3</v>
      </c>
      <c r="O317" s="111" t="s">
        <v>47</v>
      </c>
      <c r="P317" s="136"/>
      <c r="Q317" s="128"/>
      <c r="R317" s="128"/>
      <c r="S317" s="128"/>
      <c r="T317" s="128"/>
      <c r="U317" s="128"/>
      <c r="V317" s="128"/>
      <c r="W317" s="128"/>
      <c r="X317" s="128"/>
    </row>
    <row r="318" spans="1:24" ht="36">
      <c r="A318" s="118" t="s">
        <v>435</v>
      </c>
      <c r="B318" s="119" t="s">
        <v>1495</v>
      </c>
      <c r="C318" s="119" t="s">
        <v>1496</v>
      </c>
      <c r="D318" s="134"/>
      <c r="E318" s="129"/>
      <c r="F318" s="121">
        <v>2</v>
      </c>
      <c r="G318" s="122">
        <v>2</v>
      </c>
      <c r="H318" s="123">
        <f t="shared" si="14"/>
        <v>3</v>
      </c>
      <c r="I318" s="124" t="s">
        <v>947</v>
      </c>
      <c r="J318" s="137" t="s">
        <v>441</v>
      </c>
      <c r="K318" s="138" t="s">
        <v>441</v>
      </c>
      <c r="L318" s="143" t="s">
        <v>441</v>
      </c>
      <c r="M318" s="124" t="s">
        <v>515</v>
      </c>
      <c r="N318" s="111">
        <v>3</v>
      </c>
      <c r="O318" s="111" t="s">
        <v>47</v>
      </c>
      <c r="P318" s="136"/>
      <c r="Q318" s="128"/>
      <c r="R318" s="128"/>
      <c r="S318" s="128"/>
      <c r="T318" s="128"/>
      <c r="U318" s="128"/>
      <c r="V318" s="128"/>
      <c r="W318" s="128"/>
      <c r="X318" s="128"/>
    </row>
    <row r="319" spans="1:24" ht="36">
      <c r="A319" s="118" t="s">
        <v>435</v>
      </c>
      <c r="B319" s="119" t="s">
        <v>1497</v>
      </c>
      <c r="C319" s="119" t="s">
        <v>1498</v>
      </c>
      <c r="D319" s="134"/>
      <c r="E319" s="120" t="s">
        <v>1499</v>
      </c>
      <c r="F319" s="121">
        <v>2</v>
      </c>
      <c r="G319" s="122">
        <v>2</v>
      </c>
      <c r="H319" s="123">
        <f t="shared" si="14"/>
        <v>3</v>
      </c>
      <c r="I319" s="124" t="s">
        <v>1500</v>
      </c>
      <c r="J319" s="137" t="s">
        <v>441</v>
      </c>
      <c r="K319" s="138" t="s">
        <v>441</v>
      </c>
      <c r="L319" s="143" t="s">
        <v>441</v>
      </c>
      <c r="M319" s="124" t="s">
        <v>515</v>
      </c>
      <c r="N319" s="111">
        <v>3</v>
      </c>
      <c r="O319" s="111" t="s">
        <v>47</v>
      </c>
      <c r="P319" s="136"/>
      <c r="Q319" s="128"/>
      <c r="R319" s="128"/>
      <c r="S319" s="128"/>
      <c r="T319" s="128"/>
      <c r="U319" s="128"/>
      <c r="V319" s="128"/>
      <c r="W319" s="128"/>
      <c r="X319" s="128"/>
    </row>
    <row r="320" spans="1:24" ht="24">
      <c r="A320" s="118" t="s">
        <v>435</v>
      </c>
      <c r="B320" s="119" t="s">
        <v>1501</v>
      </c>
      <c r="C320" s="119" t="s">
        <v>1502</v>
      </c>
      <c r="D320" s="134"/>
      <c r="E320" s="120" t="s">
        <v>1503</v>
      </c>
      <c r="F320" s="121">
        <v>2</v>
      </c>
      <c r="G320" s="122">
        <v>2</v>
      </c>
      <c r="H320" s="123">
        <f t="shared" si="14"/>
        <v>3</v>
      </c>
      <c r="I320" s="124" t="s">
        <v>500</v>
      </c>
      <c r="J320" s="137" t="s">
        <v>441</v>
      </c>
      <c r="K320" s="138" t="s">
        <v>441</v>
      </c>
      <c r="L320" s="143" t="s">
        <v>441</v>
      </c>
      <c r="M320" s="124" t="s">
        <v>515</v>
      </c>
      <c r="N320" s="111">
        <v>3</v>
      </c>
      <c r="O320" s="111" t="s">
        <v>47</v>
      </c>
      <c r="P320" s="136"/>
      <c r="Q320" s="128"/>
      <c r="R320" s="128"/>
      <c r="S320" s="128"/>
      <c r="T320" s="128"/>
      <c r="U320" s="128"/>
      <c r="V320" s="128"/>
      <c r="W320" s="128"/>
      <c r="X320" s="128"/>
    </row>
    <row r="321" spans="1:24" ht="48">
      <c r="A321" s="118" t="s">
        <v>435</v>
      </c>
      <c r="B321" s="119" t="s">
        <v>1504</v>
      </c>
      <c r="C321" s="119" t="s">
        <v>1505</v>
      </c>
      <c r="D321" s="118"/>
      <c r="E321" s="129"/>
      <c r="F321" s="121">
        <v>2</v>
      </c>
      <c r="G321" s="122">
        <v>2</v>
      </c>
      <c r="H321" s="123">
        <f t="shared" si="14"/>
        <v>3</v>
      </c>
      <c r="I321" s="124" t="s">
        <v>1506</v>
      </c>
      <c r="J321" s="137" t="s">
        <v>441</v>
      </c>
      <c r="K321" s="138" t="s">
        <v>441</v>
      </c>
      <c r="L321" s="143" t="s">
        <v>441</v>
      </c>
      <c r="M321" s="124" t="s">
        <v>515</v>
      </c>
      <c r="N321" s="111">
        <v>3</v>
      </c>
      <c r="O321" s="111" t="s">
        <v>47</v>
      </c>
      <c r="P321" s="136"/>
      <c r="Q321" s="128"/>
      <c r="R321" s="128"/>
      <c r="S321" s="128"/>
      <c r="T321" s="128"/>
      <c r="U321" s="128"/>
      <c r="V321" s="128"/>
      <c r="W321" s="128"/>
      <c r="X321" s="128"/>
    </row>
    <row r="322" spans="1:24" ht="24">
      <c r="A322" s="118" t="s">
        <v>435</v>
      </c>
      <c r="B322" s="119" t="s">
        <v>1507</v>
      </c>
      <c r="C322" s="119" t="s">
        <v>1508</v>
      </c>
      <c r="D322" s="134"/>
      <c r="E322" s="129"/>
      <c r="F322" s="121">
        <v>2</v>
      </c>
      <c r="G322" s="122">
        <v>2</v>
      </c>
      <c r="H322" s="123">
        <f t="shared" si="14"/>
        <v>3</v>
      </c>
      <c r="I322" s="124" t="s">
        <v>1509</v>
      </c>
      <c r="J322" s="137" t="s">
        <v>441</v>
      </c>
      <c r="K322" s="138" t="s">
        <v>441</v>
      </c>
      <c r="L322" s="143" t="s">
        <v>441</v>
      </c>
      <c r="M322" s="124" t="s">
        <v>515</v>
      </c>
      <c r="N322" s="111">
        <v>3</v>
      </c>
      <c r="O322" s="111" t="s">
        <v>47</v>
      </c>
      <c r="P322" s="136"/>
      <c r="Q322" s="128"/>
      <c r="R322" s="128"/>
      <c r="S322" s="128"/>
      <c r="T322" s="128"/>
      <c r="U322" s="128"/>
      <c r="V322" s="128"/>
      <c r="W322" s="128"/>
      <c r="X322" s="128"/>
    </row>
    <row r="323" spans="1:24" ht="48">
      <c r="A323" s="118" t="s">
        <v>435</v>
      </c>
      <c r="B323" s="119" t="s">
        <v>1510</v>
      </c>
      <c r="C323" s="119" t="s">
        <v>1258</v>
      </c>
      <c r="D323" s="118"/>
      <c r="E323" s="120" t="s">
        <v>1511</v>
      </c>
      <c r="F323" s="121">
        <v>2</v>
      </c>
      <c r="G323" s="122">
        <v>2</v>
      </c>
      <c r="H323" s="123">
        <f t="shared" si="14"/>
        <v>3</v>
      </c>
      <c r="I323" s="124" t="s">
        <v>1512</v>
      </c>
      <c r="J323" s="137" t="s">
        <v>441</v>
      </c>
      <c r="K323" s="138" t="s">
        <v>441</v>
      </c>
      <c r="L323" s="143" t="s">
        <v>441</v>
      </c>
      <c r="M323" s="124" t="s">
        <v>515</v>
      </c>
      <c r="N323" s="111">
        <v>3</v>
      </c>
      <c r="O323" s="111" t="s">
        <v>47</v>
      </c>
      <c r="P323" s="136"/>
      <c r="Q323" s="128"/>
      <c r="R323" s="128"/>
      <c r="S323" s="128"/>
      <c r="T323" s="128"/>
      <c r="U323" s="128"/>
      <c r="V323" s="128"/>
      <c r="W323" s="128"/>
      <c r="X323" s="128"/>
    </row>
    <row r="324" spans="1:24" ht="48">
      <c r="A324" s="118" t="s">
        <v>435</v>
      </c>
      <c r="B324" s="119" t="s">
        <v>1513</v>
      </c>
      <c r="C324" s="119" t="s">
        <v>1514</v>
      </c>
      <c r="D324" s="134"/>
      <c r="E324" s="129"/>
      <c r="F324" s="121">
        <v>2</v>
      </c>
      <c r="G324" s="122">
        <v>2</v>
      </c>
      <c r="H324" s="123">
        <f t="shared" si="14"/>
        <v>3</v>
      </c>
      <c r="I324" s="124" t="s">
        <v>1515</v>
      </c>
      <c r="J324" s="137" t="s">
        <v>441</v>
      </c>
      <c r="K324" s="138" t="s">
        <v>441</v>
      </c>
      <c r="L324" s="143" t="s">
        <v>441</v>
      </c>
      <c r="M324" s="124" t="s">
        <v>515</v>
      </c>
      <c r="N324" s="111">
        <v>3</v>
      </c>
      <c r="O324" s="111" t="s">
        <v>47</v>
      </c>
      <c r="P324" s="136"/>
      <c r="Q324" s="128"/>
      <c r="R324" s="128"/>
      <c r="S324" s="128"/>
      <c r="T324" s="128"/>
      <c r="U324" s="128"/>
      <c r="V324" s="128"/>
      <c r="W324" s="128"/>
      <c r="X324" s="128"/>
    </row>
    <row r="325" spans="1:24" ht="48">
      <c r="A325" s="118" t="s">
        <v>435</v>
      </c>
      <c r="B325" s="119" t="s">
        <v>1516</v>
      </c>
      <c r="C325" s="142"/>
      <c r="D325" s="134"/>
      <c r="E325" s="120" t="s">
        <v>1517</v>
      </c>
      <c r="F325" s="121">
        <v>2</v>
      </c>
      <c r="G325" s="122">
        <v>2</v>
      </c>
      <c r="H325" s="123">
        <f t="shared" si="14"/>
        <v>3</v>
      </c>
      <c r="I325" s="124" t="s">
        <v>983</v>
      </c>
      <c r="J325" s="137" t="s">
        <v>441</v>
      </c>
      <c r="K325" s="138" t="s">
        <v>441</v>
      </c>
      <c r="L325" s="143" t="s">
        <v>441</v>
      </c>
      <c r="M325" s="124" t="s">
        <v>515</v>
      </c>
      <c r="N325" s="111">
        <v>3</v>
      </c>
      <c r="O325" s="111" t="s">
        <v>47</v>
      </c>
      <c r="P325" s="136"/>
      <c r="Q325" s="128"/>
      <c r="R325" s="128"/>
      <c r="S325" s="128"/>
      <c r="T325" s="128"/>
      <c r="U325" s="128"/>
      <c r="V325" s="128"/>
      <c r="W325" s="128"/>
      <c r="X325" s="128"/>
    </row>
    <row r="326" spans="1:24" ht="48">
      <c r="A326" s="118" t="s">
        <v>435</v>
      </c>
      <c r="B326" s="119" t="s">
        <v>1518</v>
      </c>
      <c r="C326" s="119" t="s">
        <v>1519</v>
      </c>
      <c r="D326" s="134"/>
      <c r="E326" s="129"/>
      <c r="F326" s="121">
        <v>2</v>
      </c>
      <c r="G326" s="122">
        <v>2</v>
      </c>
      <c r="H326" s="123">
        <f t="shared" si="14"/>
        <v>3</v>
      </c>
      <c r="I326" s="124" t="s">
        <v>482</v>
      </c>
      <c r="J326" s="137" t="s">
        <v>441</v>
      </c>
      <c r="K326" s="138" t="s">
        <v>441</v>
      </c>
      <c r="L326" s="143" t="s">
        <v>441</v>
      </c>
      <c r="M326" s="124" t="s">
        <v>515</v>
      </c>
      <c r="N326" s="111">
        <v>3</v>
      </c>
      <c r="O326" s="111" t="s">
        <v>47</v>
      </c>
      <c r="P326" s="136"/>
      <c r="Q326" s="128"/>
      <c r="R326" s="128"/>
      <c r="S326" s="128"/>
      <c r="T326" s="128"/>
      <c r="U326" s="128"/>
      <c r="V326" s="128"/>
      <c r="W326" s="128"/>
      <c r="X326" s="128"/>
    </row>
    <row r="327" spans="1:24" ht="36">
      <c r="A327" s="118" t="s">
        <v>435</v>
      </c>
      <c r="B327" s="119" t="s">
        <v>1520</v>
      </c>
      <c r="C327" s="119" t="s">
        <v>1521</v>
      </c>
      <c r="D327" s="134"/>
      <c r="E327" s="129"/>
      <c r="F327" s="121">
        <v>2</v>
      </c>
      <c r="G327" s="122">
        <v>2</v>
      </c>
      <c r="H327" s="123">
        <f t="shared" si="14"/>
        <v>3</v>
      </c>
      <c r="I327" s="124" t="s">
        <v>1522</v>
      </c>
      <c r="J327" s="137" t="s">
        <v>441</v>
      </c>
      <c r="K327" s="138" t="s">
        <v>441</v>
      </c>
      <c r="L327" s="143" t="s">
        <v>441</v>
      </c>
      <c r="M327" s="124" t="s">
        <v>515</v>
      </c>
      <c r="N327" s="111">
        <v>3</v>
      </c>
      <c r="O327" s="111" t="s">
        <v>47</v>
      </c>
      <c r="P327" s="136"/>
      <c r="Q327" s="128"/>
      <c r="R327" s="128"/>
      <c r="S327" s="128"/>
      <c r="T327" s="128"/>
      <c r="U327" s="128"/>
      <c r="V327" s="128"/>
      <c r="W327" s="128"/>
      <c r="X327" s="128"/>
    </row>
    <row r="328" spans="1:24" ht="48">
      <c r="A328" s="118" t="s">
        <v>435</v>
      </c>
      <c r="B328" s="119" t="s">
        <v>1523</v>
      </c>
      <c r="C328" s="119" t="s">
        <v>1524</v>
      </c>
      <c r="D328" s="118"/>
      <c r="E328" s="129"/>
      <c r="F328" s="121">
        <v>2</v>
      </c>
      <c r="G328" s="122">
        <v>2</v>
      </c>
      <c r="H328" s="123">
        <f t="shared" si="14"/>
        <v>3</v>
      </c>
      <c r="I328" s="124" t="s">
        <v>1422</v>
      </c>
      <c r="J328" s="137" t="s">
        <v>441</v>
      </c>
      <c r="K328" s="138" t="s">
        <v>441</v>
      </c>
      <c r="L328" s="143" t="s">
        <v>441</v>
      </c>
      <c r="M328" s="124" t="s">
        <v>515</v>
      </c>
      <c r="N328" s="111">
        <v>3</v>
      </c>
      <c r="O328" s="111" t="s">
        <v>47</v>
      </c>
      <c r="P328" s="136"/>
      <c r="Q328" s="128"/>
      <c r="R328" s="128"/>
      <c r="S328" s="128"/>
      <c r="T328" s="128"/>
      <c r="U328" s="128"/>
      <c r="V328" s="128"/>
      <c r="W328" s="128"/>
      <c r="X328" s="128"/>
    </row>
    <row r="329" spans="1:24" ht="48">
      <c r="A329" s="118" t="s">
        <v>435</v>
      </c>
      <c r="B329" s="119" t="s">
        <v>1525</v>
      </c>
      <c r="C329" s="119" t="s">
        <v>1526</v>
      </c>
      <c r="D329" s="118"/>
      <c r="E329" s="129"/>
      <c r="F329" s="121">
        <v>2</v>
      </c>
      <c r="G329" s="122">
        <v>2</v>
      </c>
      <c r="H329" s="123">
        <f t="shared" si="14"/>
        <v>3</v>
      </c>
      <c r="I329" s="124" t="s">
        <v>1422</v>
      </c>
      <c r="J329" s="137" t="s">
        <v>441</v>
      </c>
      <c r="K329" s="138" t="s">
        <v>441</v>
      </c>
      <c r="L329" s="143" t="s">
        <v>441</v>
      </c>
      <c r="M329" s="124" t="s">
        <v>515</v>
      </c>
      <c r="N329" s="111">
        <v>3</v>
      </c>
      <c r="O329" s="111" t="s">
        <v>47</v>
      </c>
      <c r="P329" s="136"/>
      <c r="Q329" s="128"/>
      <c r="R329" s="128"/>
      <c r="S329" s="128"/>
      <c r="T329" s="128"/>
      <c r="U329" s="128"/>
      <c r="V329" s="128"/>
      <c r="W329" s="128"/>
      <c r="X329" s="128"/>
    </row>
    <row r="330" spans="1:24" ht="48">
      <c r="A330" s="118" t="s">
        <v>435</v>
      </c>
      <c r="B330" s="119" t="s">
        <v>1527</v>
      </c>
      <c r="C330" s="142"/>
      <c r="D330" s="118"/>
      <c r="E330" s="120" t="s">
        <v>1528</v>
      </c>
      <c r="F330" s="121">
        <v>2</v>
      </c>
      <c r="G330" s="122">
        <v>2</v>
      </c>
      <c r="H330" s="123">
        <f t="shared" si="14"/>
        <v>3</v>
      </c>
      <c r="I330" s="124" t="s">
        <v>1529</v>
      </c>
      <c r="J330" s="137" t="s">
        <v>441</v>
      </c>
      <c r="K330" s="138" t="s">
        <v>441</v>
      </c>
      <c r="L330" s="143" t="s">
        <v>441</v>
      </c>
      <c r="M330" s="124" t="s">
        <v>515</v>
      </c>
      <c r="N330" s="111">
        <v>3</v>
      </c>
      <c r="O330" s="111" t="s">
        <v>47</v>
      </c>
      <c r="P330" s="136"/>
      <c r="Q330" s="128"/>
      <c r="R330" s="128"/>
      <c r="S330" s="128"/>
      <c r="T330" s="128"/>
      <c r="U330" s="128"/>
      <c r="V330" s="128"/>
      <c r="W330" s="128"/>
      <c r="X330" s="128"/>
    </row>
    <row r="331" spans="1:24" ht="36">
      <c r="A331" s="118" t="s">
        <v>435</v>
      </c>
      <c r="B331" s="119" t="s">
        <v>1530</v>
      </c>
      <c r="C331" s="119" t="s">
        <v>1531</v>
      </c>
      <c r="D331" s="134"/>
      <c r="E331" s="129"/>
      <c r="F331" s="121">
        <v>2</v>
      </c>
      <c r="G331" s="122">
        <v>2</v>
      </c>
      <c r="H331" s="123">
        <f t="shared" si="14"/>
        <v>3</v>
      </c>
      <c r="I331" s="124" t="s">
        <v>1532</v>
      </c>
      <c r="J331" s="137" t="s">
        <v>441</v>
      </c>
      <c r="K331" s="138" t="s">
        <v>441</v>
      </c>
      <c r="L331" s="143" t="s">
        <v>441</v>
      </c>
      <c r="M331" s="124" t="s">
        <v>1266</v>
      </c>
      <c r="N331" s="111">
        <v>3</v>
      </c>
      <c r="O331" s="111" t="s">
        <v>47</v>
      </c>
      <c r="P331" s="136"/>
      <c r="Q331" s="128"/>
      <c r="R331" s="128"/>
      <c r="S331" s="128"/>
      <c r="T331" s="128"/>
      <c r="U331" s="128"/>
      <c r="V331" s="128"/>
      <c r="W331" s="128"/>
      <c r="X331" s="128"/>
    </row>
    <row r="332" spans="1:24" ht="36">
      <c r="A332" s="118" t="s">
        <v>435</v>
      </c>
      <c r="B332" s="119" t="s">
        <v>1533</v>
      </c>
      <c r="C332" s="119" t="s">
        <v>1534</v>
      </c>
      <c r="D332" s="134"/>
      <c r="E332" s="129"/>
      <c r="F332" s="121">
        <v>2</v>
      </c>
      <c r="G332" s="122">
        <v>2</v>
      </c>
      <c r="H332" s="123">
        <f t="shared" si="14"/>
        <v>3</v>
      </c>
      <c r="I332" s="124" t="s">
        <v>1535</v>
      </c>
      <c r="J332" s="137" t="s">
        <v>441</v>
      </c>
      <c r="K332" s="138" t="s">
        <v>441</v>
      </c>
      <c r="L332" s="143" t="s">
        <v>441</v>
      </c>
      <c r="M332" s="124" t="s">
        <v>515</v>
      </c>
      <c r="N332" s="111">
        <v>3</v>
      </c>
      <c r="O332" s="111" t="s">
        <v>47</v>
      </c>
      <c r="P332" s="136"/>
      <c r="Q332" s="128"/>
      <c r="R332" s="128"/>
      <c r="S332" s="128"/>
      <c r="T332" s="128"/>
      <c r="U332" s="128"/>
      <c r="V332" s="128"/>
      <c r="W332" s="128"/>
      <c r="X332" s="128"/>
    </row>
    <row r="333" spans="1:24" ht="24">
      <c r="A333" s="118" t="s">
        <v>435</v>
      </c>
      <c r="B333" s="119" t="s">
        <v>1536</v>
      </c>
      <c r="C333" s="119" t="s">
        <v>1537</v>
      </c>
      <c r="D333" s="134"/>
      <c r="E333" s="129"/>
      <c r="F333" s="121">
        <v>2</v>
      </c>
      <c r="G333" s="122">
        <v>2</v>
      </c>
      <c r="H333" s="123">
        <f t="shared" si="14"/>
        <v>3</v>
      </c>
      <c r="I333" s="124" t="s">
        <v>1538</v>
      </c>
      <c r="J333" s="137" t="s">
        <v>441</v>
      </c>
      <c r="K333" s="138" t="s">
        <v>441</v>
      </c>
      <c r="L333" s="143" t="s">
        <v>441</v>
      </c>
      <c r="M333" s="124" t="s">
        <v>515</v>
      </c>
      <c r="N333" s="111">
        <v>3</v>
      </c>
      <c r="O333" s="111" t="s">
        <v>47</v>
      </c>
      <c r="P333" s="136"/>
      <c r="Q333" s="128"/>
      <c r="R333" s="128"/>
      <c r="S333" s="128"/>
      <c r="T333" s="128"/>
      <c r="U333" s="128"/>
      <c r="V333" s="128"/>
      <c r="W333" s="128"/>
      <c r="X333" s="128"/>
    </row>
    <row r="334" spans="1:24" ht="60">
      <c r="A334" s="118" t="s">
        <v>435</v>
      </c>
      <c r="B334" s="119" t="s">
        <v>1539</v>
      </c>
      <c r="C334" s="119" t="s">
        <v>1540</v>
      </c>
      <c r="D334" s="118"/>
      <c r="E334" s="120" t="s">
        <v>1541</v>
      </c>
      <c r="F334" s="121">
        <v>2</v>
      </c>
      <c r="G334" s="122">
        <v>2</v>
      </c>
      <c r="H334" s="123">
        <f t="shared" si="14"/>
        <v>3</v>
      </c>
      <c r="I334" s="124" t="s">
        <v>1542</v>
      </c>
      <c r="J334" s="137" t="s">
        <v>441</v>
      </c>
      <c r="K334" s="138" t="s">
        <v>441</v>
      </c>
      <c r="L334" s="143" t="s">
        <v>441</v>
      </c>
      <c r="M334" s="124" t="s">
        <v>515</v>
      </c>
      <c r="N334" s="111">
        <v>3</v>
      </c>
      <c r="O334" s="111" t="s">
        <v>47</v>
      </c>
      <c r="P334" s="136"/>
      <c r="Q334" s="128"/>
      <c r="R334" s="128"/>
      <c r="S334" s="128"/>
      <c r="T334" s="128"/>
      <c r="U334" s="128"/>
      <c r="V334" s="128"/>
      <c r="W334" s="128"/>
      <c r="X334" s="128"/>
    </row>
    <row r="335" spans="1:24" ht="24">
      <c r="A335" s="118" t="s">
        <v>435</v>
      </c>
      <c r="B335" s="119" t="s">
        <v>1543</v>
      </c>
      <c r="C335" s="119" t="s">
        <v>1544</v>
      </c>
      <c r="D335" s="118"/>
      <c r="E335" s="129"/>
      <c r="F335" s="121">
        <v>2</v>
      </c>
      <c r="G335" s="122">
        <v>2</v>
      </c>
      <c r="H335" s="123">
        <f t="shared" si="14"/>
        <v>3</v>
      </c>
      <c r="I335" s="124" t="s">
        <v>1545</v>
      </c>
      <c r="J335" s="137" t="s">
        <v>441</v>
      </c>
      <c r="K335" s="138" t="s">
        <v>441</v>
      </c>
      <c r="L335" s="143" t="s">
        <v>441</v>
      </c>
      <c r="M335" s="124" t="s">
        <v>515</v>
      </c>
      <c r="N335" s="111">
        <v>3</v>
      </c>
      <c r="O335" s="111" t="s">
        <v>47</v>
      </c>
      <c r="P335" s="136"/>
      <c r="Q335" s="128"/>
      <c r="R335" s="128"/>
      <c r="S335" s="128"/>
      <c r="T335" s="128"/>
      <c r="U335" s="128"/>
      <c r="V335" s="128"/>
      <c r="W335" s="128"/>
      <c r="X335" s="128"/>
    </row>
    <row r="336" spans="1:24" ht="36">
      <c r="A336" s="118" t="s">
        <v>435</v>
      </c>
      <c r="B336" s="119" t="s">
        <v>1546</v>
      </c>
      <c r="C336" s="119" t="s">
        <v>1547</v>
      </c>
      <c r="D336" s="134"/>
      <c r="E336" s="129"/>
      <c r="F336" s="121">
        <v>2</v>
      </c>
      <c r="G336" s="122">
        <v>2</v>
      </c>
      <c r="H336" s="123">
        <f t="shared" si="14"/>
        <v>3</v>
      </c>
      <c r="I336" s="124" t="s">
        <v>1548</v>
      </c>
      <c r="J336" s="137" t="s">
        <v>441</v>
      </c>
      <c r="K336" s="138" t="s">
        <v>441</v>
      </c>
      <c r="L336" s="143" t="s">
        <v>441</v>
      </c>
      <c r="M336" s="124" t="s">
        <v>515</v>
      </c>
      <c r="N336" s="111">
        <v>3</v>
      </c>
      <c r="O336" s="111" t="s">
        <v>47</v>
      </c>
      <c r="P336" s="136"/>
      <c r="Q336" s="128"/>
      <c r="R336" s="128"/>
      <c r="S336" s="128"/>
      <c r="T336" s="128"/>
      <c r="U336" s="128"/>
      <c r="V336" s="128"/>
      <c r="W336" s="128"/>
      <c r="X336" s="128"/>
    </row>
    <row r="337" spans="1:24" ht="24">
      <c r="A337" s="118" t="s">
        <v>435</v>
      </c>
      <c r="B337" s="119" t="s">
        <v>1549</v>
      </c>
      <c r="C337" s="119" t="s">
        <v>1550</v>
      </c>
      <c r="D337" s="134"/>
      <c r="E337" s="129"/>
      <c r="F337" s="121">
        <v>2</v>
      </c>
      <c r="G337" s="122">
        <v>2</v>
      </c>
      <c r="H337" s="123">
        <f t="shared" si="14"/>
        <v>3</v>
      </c>
      <c r="I337" s="124" t="s">
        <v>733</v>
      </c>
      <c r="J337" s="137" t="s">
        <v>441</v>
      </c>
      <c r="K337" s="138" t="s">
        <v>441</v>
      </c>
      <c r="L337" s="143" t="s">
        <v>441</v>
      </c>
      <c r="M337" s="124" t="s">
        <v>515</v>
      </c>
      <c r="N337" s="111">
        <v>3</v>
      </c>
      <c r="O337" s="111" t="s">
        <v>47</v>
      </c>
      <c r="P337" s="136"/>
      <c r="Q337" s="128"/>
      <c r="R337" s="128"/>
      <c r="S337" s="128"/>
      <c r="T337" s="128"/>
      <c r="U337" s="128"/>
      <c r="V337" s="128"/>
      <c r="W337" s="128"/>
      <c r="X337" s="128"/>
    </row>
    <row r="338" spans="1:24" ht="24">
      <c r="A338" s="118" t="s">
        <v>435</v>
      </c>
      <c r="B338" s="119" t="s">
        <v>1551</v>
      </c>
      <c r="C338" s="119" t="s">
        <v>1552</v>
      </c>
      <c r="D338" s="134"/>
      <c r="E338" s="120" t="s">
        <v>1553</v>
      </c>
      <c r="F338" s="121">
        <v>2</v>
      </c>
      <c r="G338" s="122">
        <v>2</v>
      </c>
      <c r="H338" s="123">
        <f t="shared" si="14"/>
        <v>3</v>
      </c>
      <c r="I338" s="124" t="s">
        <v>482</v>
      </c>
      <c r="J338" s="137" t="s">
        <v>441</v>
      </c>
      <c r="K338" s="138" t="s">
        <v>441</v>
      </c>
      <c r="L338" s="143" t="s">
        <v>441</v>
      </c>
      <c r="M338" s="124" t="s">
        <v>515</v>
      </c>
      <c r="N338" s="111">
        <v>3</v>
      </c>
      <c r="O338" s="111" t="s">
        <v>47</v>
      </c>
      <c r="P338" s="136"/>
      <c r="Q338" s="128"/>
      <c r="R338" s="128"/>
      <c r="S338" s="128"/>
      <c r="T338" s="128"/>
      <c r="U338" s="128"/>
      <c r="V338" s="128"/>
      <c r="W338" s="128"/>
      <c r="X338" s="128"/>
    </row>
    <row r="339" spans="1:24" ht="48">
      <c r="A339" s="118" t="s">
        <v>435</v>
      </c>
      <c r="B339" s="119" t="s">
        <v>1554</v>
      </c>
      <c r="C339" s="119" t="s">
        <v>1555</v>
      </c>
      <c r="D339" s="134"/>
      <c r="E339" s="129"/>
      <c r="F339" s="121">
        <v>2</v>
      </c>
      <c r="G339" s="122">
        <v>2</v>
      </c>
      <c r="H339" s="123">
        <f t="shared" si="14"/>
        <v>3</v>
      </c>
      <c r="I339" s="124" t="s">
        <v>1556</v>
      </c>
      <c r="J339" s="137" t="s">
        <v>441</v>
      </c>
      <c r="K339" s="138" t="s">
        <v>441</v>
      </c>
      <c r="L339" s="143" t="s">
        <v>441</v>
      </c>
      <c r="M339" s="124" t="s">
        <v>515</v>
      </c>
      <c r="N339" s="111">
        <v>3</v>
      </c>
      <c r="O339" s="111" t="s">
        <v>47</v>
      </c>
      <c r="P339" s="136"/>
      <c r="Q339" s="128"/>
      <c r="R339" s="128"/>
      <c r="S339" s="128"/>
      <c r="T339" s="128"/>
      <c r="U339" s="128"/>
      <c r="V339" s="128"/>
      <c r="W339" s="128"/>
      <c r="X339" s="128"/>
    </row>
    <row r="340" spans="1:24" ht="36">
      <c r="A340" s="118" t="s">
        <v>435</v>
      </c>
      <c r="B340" s="119" t="s">
        <v>1557</v>
      </c>
      <c r="C340" s="119" t="s">
        <v>1558</v>
      </c>
      <c r="D340" s="134"/>
      <c r="E340" s="129"/>
      <c r="F340" s="121">
        <v>2</v>
      </c>
      <c r="G340" s="122">
        <v>2</v>
      </c>
      <c r="H340" s="123">
        <f t="shared" si="14"/>
        <v>3</v>
      </c>
      <c r="I340" s="124" t="s">
        <v>709</v>
      </c>
      <c r="J340" s="137" t="s">
        <v>441</v>
      </c>
      <c r="K340" s="138" t="s">
        <v>441</v>
      </c>
      <c r="L340" s="143" t="s">
        <v>441</v>
      </c>
      <c r="M340" s="124" t="s">
        <v>515</v>
      </c>
      <c r="N340" s="111">
        <v>3</v>
      </c>
      <c r="O340" s="111" t="s">
        <v>47</v>
      </c>
      <c r="P340" s="136"/>
      <c r="Q340" s="128"/>
      <c r="R340" s="128"/>
      <c r="S340" s="128"/>
      <c r="T340" s="128"/>
      <c r="U340" s="128"/>
      <c r="V340" s="128"/>
      <c r="W340" s="128"/>
      <c r="X340" s="128"/>
    </row>
    <row r="341" spans="1:24" ht="48">
      <c r="A341" s="149" t="s">
        <v>591</v>
      </c>
      <c r="B341" s="119" t="s">
        <v>1559</v>
      </c>
      <c r="C341" s="119" t="s">
        <v>1560</v>
      </c>
      <c r="D341" s="118"/>
      <c r="E341" s="129"/>
      <c r="F341" s="121">
        <v>1</v>
      </c>
      <c r="G341" s="122">
        <v>3</v>
      </c>
      <c r="H341" s="123">
        <f t="shared" si="14"/>
        <v>3</v>
      </c>
      <c r="I341" s="124" t="s">
        <v>1345</v>
      </c>
      <c r="J341" s="137" t="s">
        <v>441</v>
      </c>
      <c r="K341" s="138" t="s">
        <v>441</v>
      </c>
      <c r="L341" s="143" t="s">
        <v>441</v>
      </c>
      <c r="M341" s="124" t="s">
        <v>515</v>
      </c>
      <c r="N341" s="111">
        <v>3</v>
      </c>
      <c r="O341" s="111" t="s">
        <v>47</v>
      </c>
      <c r="P341" s="136"/>
      <c r="Q341" s="128"/>
      <c r="R341" s="128"/>
      <c r="S341" s="128"/>
      <c r="T341" s="128"/>
      <c r="U341" s="128"/>
      <c r="V341" s="128"/>
      <c r="W341" s="128"/>
      <c r="X341" s="128"/>
    </row>
    <row r="342" spans="1:24" ht="48">
      <c r="A342" s="118" t="s">
        <v>435</v>
      </c>
      <c r="B342" s="119" t="s">
        <v>1561</v>
      </c>
      <c r="C342" s="119" t="s">
        <v>1562</v>
      </c>
      <c r="D342" s="134"/>
      <c r="E342" s="129"/>
      <c r="F342" s="121">
        <v>2</v>
      </c>
      <c r="G342" s="122">
        <v>1</v>
      </c>
      <c r="H342" s="123">
        <f t="shared" si="14"/>
        <v>2</v>
      </c>
      <c r="I342" s="124" t="s">
        <v>1563</v>
      </c>
      <c r="J342" s="137" t="s">
        <v>441</v>
      </c>
      <c r="K342" s="138" t="s">
        <v>441</v>
      </c>
      <c r="L342" s="143" t="s">
        <v>441</v>
      </c>
      <c r="M342" s="124" t="s">
        <v>515</v>
      </c>
      <c r="N342" s="111">
        <v>2</v>
      </c>
      <c r="O342" s="111" t="s">
        <v>47</v>
      </c>
      <c r="P342" s="136"/>
      <c r="Q342" s="128"/>
      <c r="R342" s="128"/>
      <c r="S342" s="128"/>
      <c r="T342" s="128"/>
      <c r="U342" s="128"/>
      <c r="V342" s="128"/>
      <c r="W342" s="128"/>
      <c r="X342" s="128"/>
    </row>
    <row r="343" spans="1:24" ht="36">
      <c r="A343" s="118" t="s">
        <v>435</v>
      </c>
      <c r="B343" s="119" t="s">
        <v>1564</v>
      </c>
      <c r="C343" s="142"/>
      <c r="D343" s="134"/>
      <c r="E343" s="120" t="s">
        <v>1565</v>
      </c>
      <c r="F343" s="121">
        <v>1</v>
      </c>
      <c r="G343" s="122">
        <v>2</v>
      </c>
      <c r="H343" s="123">
        <f t="shared" si="14"/>
        <v>2</v>
      </c>
      <c r="I343" s="124" t="s">
        <v>1228</v>
      </c>
      <c r="J343" s="125">
        <v>1</v>
      </c>
      <c r="K343" s="122">
        <v>2</v>
      </c>
      <c r="L343" s="111">
        <f>(J343+K343)-1</f>
        <v>2</v>
      </c>
      <c r="M343" s="124" t="s">
        <v>515</v>
      </c>
      <c r="N343" s="111">
        <v>2</v>
      </c>
      <c r="O343" s="111" t="s">
        <v>47</v>
      </c>
      <c r="P343" s="136"/>
      <c r="Q343" s="128"/>
      <c r="R343" s="128"/>
      <c r="S343" s="128"/>
      <c r="T343" s="128"/>
      <c r="U343" s="128"/>
      <c r="V343" s="128"/>
      <c r="W343" s="128"/>
      <c r="X343" s="128"/>
    </row>
    <row r="344" spans="1:24" ht="24">
      <c r="A344" s="118" t="s">
        <v>435</v>
      </c>
      <c r="B344" s="119" t="s">
        <v>1566</v>
      </c>
      <c r="C344" s="119" t="s">
        <v>1567</v>
      </c>
      <c r="D344" s="134"/>
      <c r="E344" s="129"/>
      <c r="F344" s="121">
        <v>1</v>
      </c>
      <c r="G344" s="122">
        <v>2</v>
      </c>
      <c r="H344" s="123">
        <f t="shared" si="14"/>
        <v>2</v>
      </c>
      <c r="I344" s="124" t="s">
        <v>1568</v>
      </c>
      <c r="J344" s="137" t="s">
        <v>441</v>
      </c>
      <c r="K344" s="138" t="s">
        <v>441</v>
      </c>
      <c r="L344" s="143" t="s">
        <v>441</v>
      </c>
      <c r="M344" s="124" t="s">
        <v>515</v>
      </c>
      <c r="N344" s="111">
        <v>2</v>
      </c>
      <c r="O344" s="111" t="s">
        <v>47</v>
      </c>
      <c r="P344" s="136"/>
      <c r="Q344" s="128"/>
      <c r="R344" s="128"/>
      <c r="S344" s="128"/>
      <c r="T344" s="128"/>
      <c r="U344" s="128"/>
      <c r="V344" s="128"/>
      <c r="W344" s="128"/>
      <c r="X344" s="128"/>
    </row>
    <row r="345" spans="1:24" ht="48">
      <c r="A345" s="118" t="s">
        <v>435</v>
      </c>
      <c r="B345" s="119" t="s">
        <v>1569</v>
      </c>
      <c r="C345" s="119" t="s">
        <v>1570</v>
      </c>
      <c r="D345" s="134"/>
      <c r="E345" s="129"/>
      <c r="F345" s="121">
        <v>1</v>
      </c>
      <c r="G345" s="122">
        <v>2</v>
      </c>
      <c r="H345" s="123">
        <f t="shared" si="14"/>
        <v>2</v>
      </c>
      <c r="I345" s="124" t="s">
        <v>1571</v>
      </c>
      <c r="J345" s="137" t="s">
        <v>441</v>
      </c>
      <c r="K345" s="138" t="s">
        <v>441</v>
      </c>
      <c r="L345" s="143" t="s">
        <v>441</v>
      </c>
      <c r="M345" s="124" t="s">
        <v>515</v>
      </c>
      <c r="N345" s="111">
        <v>2</v>
      </c>
      <c r="O345" s="111" t="s">
        <v>47</v>
      </c>
      <c r="P345" s="136"/>
      <c r="Q345" s="128"/>
      <c r="R345" s="128"/>
      <c r="S345" s="128"/>
      <c r="T345" s="128"/>
      <c r="U345" s="128"/>
      <c r="V345" s="128"/>
      <c r="W345" s="128"/>
      <c r="X345" s="128"/>
    </row>
    <row r="346" spans="1:24" ht="24">
      <c r="A346" s="118" t="s">
        <v>435</v>
      </c>
      <c r="B346" s="119" t="s">
        <v>1572</v>
      </c>
      <c r="C346" s="119" t="s">
        <v>1573</v>
      </c>
      <c r="D346" s="118"/>
      <c r="E346" s="129"/>
      <c r="F346" s="121">
        <v>1</v>
      </c>
      <c r="G346" s="122">
        <v>2</v>
      </c>
      <c r="H346" s="123">
        <f t="shared" si="14"/>
        <v>2</v>
      </c>
      <c r="I346" s="124" t="s">
        <v>1532</v>
      </c>
      <c r="J346" s="137" t="s">
        <v>441</v>
      </c>
      <c r="K346" s="138" t="s">
        <v>441</v>
      </c>
      <c r="L346" s="143" t="s">
        <v>441</v>
      </c>
      <c r="M346" s="124" t="s">
        <v>515</v>
      </c>
      <c r="N346" s="111">
        <v>2</v>
      </c>
      <c r="O346" s="111" t="s">
        <v>47</v>
      </c>
      <c r="P346" s="136"/>
      <c r="Q346" s="128"/>
      <c r="R346" s="128"/>
      <c r="S346" s="128"/>
      <c r="T346" s="128"/>
      <c r="U346" s="128"/>
      <c r="V346" s="128"/>
      <c r="W346" s="128"/>
      <c r="X346" s="128"/>
    </row>
    <row r="347" spans="1:24" ht="36">
      <c r="A347" s="118" t="s">
        <v>435</v>
      </c>
      <c r="B347" s="119" t="s">
        <v>1574</v>
      </c>
      <c r="C347" s="119" t="s">
        <v>1575</v>
      </c>
      <c r="D347" s="118"/>
      <c r="E347" s="129"/>
      <c r="F347" s="121">
        <v>1</v>
      </c>
      <c r="G347" s="122">
        <v>2</v>
      </c>
      <c r="H347" s="123">
        <f t="shared" si="14"/>
        <v>2</v>
      </c>
      <c r="I347" s="124" t="s">
        <v>968</v>
      </c>
      <c r="J347" s="137" t="s">
        <v>441</v>
      </c>
      <c r="K347" s="138" t="s">
        <v>441</v>
      </c>
      <c r="L347" s="143" t="s">
        <v>441</v>
      </c>
      <c r="M347" s="124" t="s">
        <v>515</v>
      </c>
      <c r="N347" s="111">
        <v>2</v>
      </c>
      <c r="O347" s="111" t="s">
        <v>47</v>
      </c>
      <c r="P347" s="136"/>
      <c r="Q347" s="128"/>
      <c r="R347" s="128"/>
      <c r="S347" s="128"/>
      <c r="T347" s="128"/>
      <c r="U347" s="128"/>
      <c r="V347" s="128"/>
      <c r="W347" s="128"/>
      <c r="X347" s="128"/>
    </row>
    <row r="348" spans="1:24" ht="48">
      <c r="A348" s="118" t="s">
        <v>435</v>
      </c>
      <c r="B348" s="119" t="s">
        <v>1576</v>
      </c>
      <c r="C348" s="119" t="s">
        <v>1577</v>
      </c>
      <c r="D348" s="118"/>
      <c r="E348" s="129"/>
      <c r="F348" s="121">
        <v>1</v>
      </c>
      <c r="G348" s="122">
        <v>2</v>
      </c>
      <c r="H348" s="123">
        <f t="shared" si="14"/>
        <v>2</v>
      </c>
      <c r="I348" s="124" t="s">
        <v>1532</v>
      </c>
      <c r="J348" s="137" t="s">
        <v>441</v>
      </c>
      <c r="K348" s="138" t="s">
        <v>441</v>
      </c>
      <c r="L348" s="143" t="s">
        <v>441</v>
      </c>
      <c r="M348" s="124" t="s">
        <v>515</v>
      </c>
      <c r="N348" s="111">
        <v>2</v>
      </c>
      <c r="O348" s="111" t="s">
        <v>47</v>
      </c>
      <c r="P348" s="136"/>
      <c r="Q348" s="128"/>
      <c r="R348" s="128"/>
      <c r="S348" s="128"/>
      <c r="T348" s="128"/>
      <c r="U348" s="128"/>
      <c r="V348" s="128"/>
      <c r="W348" s="128"/>
      <c r="X348" s="128"/>
    </row>
    <row r="349" spans="1:24" ht="24">
      <c r="A349" s="118" t="s">
        <v>435</v>
      </c>
      <c r="B349" s="119" t="s">
        <v>1578</v>
      </c>
      <c r="C349" s="119" t="s">
        <v>1579</v>
      </c>
      <c r="D349" s="134"/>
      <c r="E349" s="129"/>
      <c r="F349" s="121">
        <v>1</v>
      </c>
      <c r="G349" s="122">
        <v>2</v>
      </c>
      <c r="H349" s="123">
        <f t="shared" si="14"/>
        <v>2</v>
      </c>
      <c r="I349" s="124" t="s">
        <v>968</v>
      </c>
      <c r="J349" s="137" t="s">
        <v>441</v>
      </c>
      <c r="K349" s="138" t="s">
        <v>441</v>
      </c>
      <c r="L349" s="143" t="s">
        <v>441</v>
      </c>
      <c r="M349" s="124" t="s">
        <v>515</v>
      </c>
      <c r="N349" s="111">
        <v>2</v>
      </c>
      <c r="O349" s="111" t="s">
        <v>47</v>
      </c>
      <c r="P349" s="136"/>
      <c r="Q349" s="128"/>
      <c r="R349" s="128"/>
      <c r="S349" s="128"/>
      <c r="T349" s="128"/>
      <c r="U349" s="128"/>
      <c r="V349" s="128"/>
      <c r="W349" s="128"/>
      <c r="X349" s="128"/>
    </row>
    <row r="350" spans="1:24" ht="36">
      <c r="A350" s="118" t="s">
        <v>435</v>
      </c>
      <c r="B350" s="119" t="s">
        <v>1580</v>
      </c>
      <c r="C350" s="119" t="s">
        <v>1581</v>
      </c>
      <c r="D350" s="134"/>
      <c r="E350" s="120" t="s">
        <v>1582</v>
      </c>
      <c r="F350" s="121">
        <v>1</v>
      </c>
      <c r="G350" s="122">
        <v>2</v>
      </c>
      <c r="H350" s="123">
        <f t="shared" si="14"/>
        <v>2</v>
      </c>
      <c r="I350" s="124" t="s">
        <v>1583</v>
      </c>
      <c r="J350" s="137" t="s">
        <v>441</v>
      </c>
      <c r="K350" s="138" t="s">
        <v>441</v>
      </c>
      <c r="L350" s="143" t="s">
        <v>441</v>
      </c>
      <c r="M350" s="124" t="s">
        <v>515</v>
      </c>
      <c r="N350" s="111">
        <v>2</v>
      </c>
      <c r="O350" s="111" t="s">
        <v>47</v>
      </c>
      <c r="P350" s="136"/>
      <c r="Q350" s="128"/>
      <c r="R350" s="128"/>
      <c r="S350" s="128"/>
      <c r="T350" s="128"/>
      <c r="U350" s="128"/>
      <c r="V350" s="128"/>
      <c r="W350" s="128"/>
      <c r="X350" s="128"/>
    </row>
    <row r="351" spans="1:24" ht="36">
      <c r="A351" s="118" t="s">
        <v>435</v>
      </c>
      <c r="B351" s="119" t="s">
        <v>1584</v>
      </c>
      <c r="C351" s="119" t="s">
        <v>1585</v>
      </c>
      <c r="D351" s="134"/>
      <c r="E351" s="129"/>
      <c r="F351" s="121">
        <v>1</v>
      </c>
      <c r="G351" s="122">
        <v>2</v>
      </c>
      <c r="H351" s="123">
        <f t="shared" si="14"/>
        <v>2</v>
      </c>
      <c r="I351" s="124" t="s">
        <v>1586</v>
      </c>
      <c r="J351" s="137" t="s">
        <v>441</v>
      </c>
      <c r="K351" s="138" t="s">
        <v>441</v>
      </c>
      <c r="L351" s="143" t="s">
        <v>441</v>
      </c>
      <c r="M351" s="124" t="s">
        <v>515</v>
      </c>
      <c r="N351" s="111">
        <v>2</v>
      </c>
      <c r="O351" s="111" t="s">
        <v>47</v>
      </c>
      <c r="P351" s="136"/>
      <c r="Q351" s="128"/>
      <c r="R351" s="128"/>
      <c r="S351" s="128"/>
      <c r="T351" s="128"/>
      <c r="U351" s="128"/>
      <c r="V351" s="128"/>
      <c r="W351" s="128"/>
      <c r="X351" s="128"/>
    </row>
    <row r="352" spans="1:24" ht="24">
      <c r="A352" s="118" t="s">
        <v>435</v>
      </c>
      <c r="B352" s="150" t="s">
        <v>1587</v>
      </c>
      <c r="C352" s="150" t="s">
        <v>1588</v>
      </c>
      <c r="D352" s="118"/>
      <c r="E352" s="120" t="s">
        <v>1589</v>
      </c>
      <c r="F352" s="121">
        <v>1</v>
      </c>
      <c r="G352" s="122">
        <v>2</v>
      </c>
      <c r="H352" s="123">
        <f t="shared" si="14"/>
        <v>2</v>
      </c>
      <c r="I352" s="124" t="s">
        <v>1465</v>
      </c>
      <c r="J352" s="137" t="s">
        <v>441</v>
      </c>
      <c r="K352" s="138" t="s">
        <v>441</v>
      </c>
      <c r="L352" s="143" t="s">
        <v>441</v>
      </c>
      <c r="M352" s="124" t="s">
        <v>515</v>
      </c>
      <c r="N352" s="111">
        <v>2</v>
      </c>
      <c r="O352" s="111" t="s">
        <v>47</v>
      </c>
      <c r="P352" s="136"/>
      <c r="Q352" s="128"/>
      <c r="R352" s="128"/>
      <c r="S352" s="128"/>
      <c r="T352" s="128"/>
      <c r="U352" s="128"/>
      <c r="V352" s="128"/>
      <c r="W352" s="128"/>
      <c r="X352" s="128"/>
    </row>
    <row r="353" spans="1:24" ht="36">
      <c r="A353" s="118" t="s">
        <v>435</v>
      </c>
      <c r="B353" s="150" t="s">
        <v>1590</v>
      </c>
      <c r="C353" s="150" t="s">
        <v>1000</v>
      </c>
      <c r="D353" s="118"/>
      <c r="E353" s="129"/>
      <c r="F353" s="121">
        <v>1</v>
      </c>
      <c r="G353" s="122">
        <v>2</v>
      </c>
      <c r="H353" s="123">
        <f t="shared" si="14"/>
        <v>2</v>
      </c>
      <c r="I353" s="124" t="s">
        <v>1228</v>
      </c>
      <c r="J353" s="137" t="s">
        <v>441</v>
      </c>
      <c r="K353" s="138" t="s">
        <v>441</v>
      </c>
      <c r="L353" s="143" t="s">
        <v>441</v>
      </c>
      <c r="M353" s="124" t="s">
        <v>774</v>
      </c>
      <c r="N353" s="111">
        <v>2</v>
      </c>
      <c r="O353" s="111" t="s">
        <v>47</v>
      </c>
      <c r="P353" s="136"/>
      <c r="Q353" s="128"/>
      <c r="R353" s="128"/>
      <c r="S353" s="128"/>
      <c r="T353" s="128"/>
      <c r="U353" s="128"/>
      <c r="V353" s="128"/>
      <c r="W353" s="128"/>
      <c r="X353" s="128"/>
    </row>
    <row r="354" spans="1:24" ht="48">
      <c r="A354" s="118" t="s">
        <v>435</v>
      </c>
      <c r="B354" s="150" t="s">
        <v>1591</v>
      </c>
      <c r="C354" s="150" t="s">
        <v>1592</v>
      </c>
      <c r="D354" s="134"/>
      <c r="E354" s="129"/>
      <c r="F354" s="121">
        <v>1</v>
      </c>
      <c r="G354" s="122">
        <v>2</v>
      </c>
      <c r="H354" s="123">
        <f t="shared" si="14"/>
        <v>2</v>
      </c>
      <c r="I354" s="124" t="s">
        <v>1593</v>
      </c>
      <c r="J354" s="137" t="s">
        <v>441</v>
      </c>
      <c r="K354" s="138" t="s">
        <v>441</v>
      </c>
      <c r="L354" s="143" t="s">
        <v>441</v>
      </c>
      <c r="M354" s="124" t="s">
        <v>1594</v>
      </c>
      <c r="N354" s="111">
        <v>2</v>
      </c>
      <c r="O354" s="111" t="s">
        <v>47</v>
      </c>
      <c r="P354" s="136"/>
      <c r="Q354" s="128"/>
      <c r="R354" s="128"/>
      <c r="S354" s="128"/>
      <c r="T354" s="128"/>
      <c r="U354" s="128"/>
      <c r="V354" s="128"/>
      <c r="W354" s="128"/>
      <c r="X354" s="128"/>
    </row>
    <row r="355" spans="1:24" ht="24">
      <c r="A355" s="118" t="s">
        <v>435</v>
      </c>
      <c r="B355" s="150" t="s">
        <v>1595</v>
      </c>
      <c r="C355" s="150" t="s">
        <v>1596</v>
      </c>
      <c r="D355" s="134"/>
      <c r="E355" s="129"/>
      <c r="F355" s="121">
        <v>1</v>
      </c>
      <c r="G355" s="122">
        <v>2</v>
      </c>
      <c r="H355" s="123">
        <f t="shared" si="14"/>
        <v>2</v>
      </c>
      <c r="I355" s="151" t="s">
        <v>444</v>
      </c>
      <c r="J355" s="137" t="s">
        <v>441</v>
      </c>
      <c r="K355" s="138" t="s">
        <v>441</v>
      </c>
      <c r="L355" s="143" t="s">
        <v>441</v>
      </c>
      <c r="M355" s="124" t="s">
        <v>515</v>
      </c>
      <c r="N355" s="111">
        <v>2</v>
      </c>
      <c r="O355" s="111" t="s">
        <v>47</v>
      </c>
      <c r="P355" s="136"/>
      <c r="Q355" s="128"/>
      <c r="R355" s="128"/>
      <c r="S355" s="128"/>
      <c r="T355" s="128"/>
      <c r="U355" s="128"/>
      <c r="V355" s="128"/>
      <c r="W355" s="128"/>
      <c r="X355" s="128"/>
    </row>
    <row r="356" spans="1:24" ht="36">
      <c r="A356" s="118" t="s">
        <v>435</v>
      </c>
      <c r="B356" s="150" t="s">
        <v>1597</v>
      </c>
      <c r="C356" s="150" t="s">
        <v>1598</v>
      </c>
      <c r="D356" s="118"/>
      <c r="E356" s="129"/>
      <c r="F356" s="121">
        <v>1</v>
      </c>
      <c r="G356" s="122">
        <v>2</v>
      </c>
      <c r="H356" s="123">
        <f t="shared" si="14"/>
        <v>2</v>
      </c>
      <c r="I356" s="151" t="s">
        <v>1599</v>
      </c>
      <c r="J356" s="137" t="s">
        <v>441</v>
      </c>
      <c r="K356" s="138" t="s">
        <v>441</v>
      </c>
      <c r="L356" s="143" t="s">
        <v>441</v>
      </c>
      <c r="M356" s="124" t="s">
        <v>515</v>
      </c>
      <c r="N356" s="111">
        <v>2</v>
      </c>
      <c r="O356" s="111" t="s">
        <v>47</v>
      </c>
      <c r="P356" s="136"/>
      <c r="Q356" s="128"/>
      <c r="R356" s="128"/>
      <c r="S356" s="128"/>
      <c r="T356" s="128"/>
      <c r="U356" s="128"/>
      <c r="V356" s="128"/>
      <c r="W356" s="128"/>
      <c r="X356" s="128"/>
    </row>
    <row r="357" spans="1:24" ht="24.6" thickBot="1">
      <c r="A357" s="118" t="s">
        <v>435</v>
      </c>
      <c r="B357" s="150" t="s">
        <v>1600</v>
      </c>
      <c r="C357" s="150" t="s">
        <v>1601</v>
      </c>
      <c r="D357" s="134"/>
      <c r="E357" s="129"/>
      <c r="F357" s="121">
        <v>1</v>
      </c>
      <c r="G357" s="122">
        <v>1</v>
      </c>
      <c r="H357" s="123">
        <f t="shared" si="14"/>
        <v>1</v>
      </c>
      <c r="I357" s="151" t="s">
        <v>702</v>
      </c>
      <c r="J357" s="137" t="s">
        <v>441</v>
      </c>
      <c r="K357" s="138" t="s">
        <v>441</v>
      </c>
      <c r="L357" s="152" t="s">
        <v>441</v>
      </c>
      <c r="M357" s="124" t="s">
        <v>515</v>
      </c>
      <c r="N357" s="111">
        <v>1</v>
      </c>
      <c r="O357" s="111" t="s">
        <v>47</v>
      </c>
      <c r="P357" s="136"/>
      <c r="Q357" s="128"/>
      <c r="R357" s="128"/>
      <c r="S357" s="128"/>
      <c r="T357" s="128"/>
      <c r="U357" s="128"/>
      <c r="V357" s="128"/>
      <c r="W357" s="128"/>
      <c r="X357" s="128"/>
    </row>
  </sheetData>
  <mergeCells count="12">
    <mergeCell ref="O4:O5"/>
    <mergeCell ref="P4:X4"/>
    <mergeCell ref="A1:B3"/>
    <mergeCell ref="C1:W3"/>
    <mergeCell ref="X1:X3"/>
    <mergeCell ref="A4:A5"/>
    <mergeCell ref="B4:B5"/>
    <mergeCell ref="C4:C5"/>
    <mergeCell ref="D4:D5"/>
    <mergeCell ref="E4:E5"/>
    <mergeCell ref="F4:I4"/>
    <mergeCell ref="J4:M4"/>
  </mergeCells>
  <conditionalFormatting sqref="H6:H100 H102:H357">
    <cfRule type="cellIs" dxfId="79" priority="78" operator="greaterThan">
      <formula>5</formula>
    </cfRule>
    <cfRule type="cellIs" dxfId="78" priority="79" operator="between">
      <formula>4</formula>
      <formula>5</formula>
    </cfRule>
    <cfRule type="cellIs" dxfId="77" priority="80" operator="between">
      <formula>1</formula>
      <formula>3</formula>
    </cfRule>
  </conditionalFormatting>
  <conditionalFormatting sqref="H6:H100 H102:H357">
    <cfRule type="cellIs" dxfId="76" priority="77" operator="equal">
      <formula>-1</formula>
    </cfRule>
  </conditionalFormatting>
  <conditionalFormatting sqref="H6:H100 H102:H357">
    <cfRule type="cellIs" dxfId="75" priority="76" operator="equal">
      <formula>"x"</formula>
    </cfRule>
  </conditionalFormatting>
  <conditionalFormatting sqref="L6:L30">
    <cfRule type="cellIs" dxfId="74" priority="73" operator="greaterThan">
      <formula>5</formula>
    </cfRule>
    <cfRule type="cellIs" dxfId="73" priority="74" operator="between">
      <formula>4</formula>
      <formula>5</formula>
    </cfRule>
    <cfRule type="cellIs" dxfId="72" priority="75" operator="between">
      <formula>1</formula>
      <formula>3</formula>
    </cfRule>
  </conditionalFormatting>
  <conditionalFormatting sqref="L6:L30">
    <cfRule type="cellIs" dxfId="71" priority="72" operator="equal">
      <formula>-1</formula>
    </cfRule>
  </conditionalFormatting>
  <conditionalFormatting sqref="L6:L30">
    <cfRule type="cellIs" dxfId="70" priority="71" operator="equal">
      <formula>"x"</formula>
    </cfRule>
  </conditionalFormatting>
  <conditionalFormatting sqref="L35:L52">
    <cfRule type="cellIs" dxfId="69" priority="68" operator="greaterThan">
      <formula>5</formula>
    </cfRule>
    <cfRule type="cellIs" dxfId="68" priority="69" operator="between">
      <formula>4</formula>
      <formula>5</formula>
    </cfRule>
    <cfRule type="cellIs" dxfId="67" priority="70" operator="between">
      <formula>1</formula>
      <formula>3</formula>
    </cfRule>
  </conditionalFormatting>
  <conditionalFormatting sqref="L35:L52">
    <cfRule type="cellIs" dxfId="66" priority="67" operator="equal">
      <formula>-1</formula>
    </cfRule>
  </conditionalFormatting>
  <conditionalFormatting sqref="L35:L52">
    <cfRule type="cellIs" dxfId="65" priority="66" operator="equal">
      <formula>"x"</formula>
    </cfRule>
  </conditionalFormatting>
  <conditionalFormatting sqref="L54:L57">
    <cfRule type="cellIs" dxfId="64" priority="63" operator="greaterThan">
      <formula>5</formula>
    </cfRule>
    <cfRule type="cellIs" dxfId="63" priority="64" operator="between">
      <formula>4</formula>
      <formula>5</formula>
    </cfRule>
    <cfRule type="cellIs" dxfId="62" priority="65" operator="between">
      <formula>1</formula>
      <formula>3</formula>
    </cfRule>
  </conditionalFormatting>
  <conditionalFormatting sqref="L54:L57">
    <cfRule type="cellIs" dxfId="61" priority="62" operator="equal">
      <formula>-1</formula>
    </cfRule>
  </conditionalFormatting>
  <conditionalFormatting sqref="L54:L57">
    <cfRule type="cellIs" dxfId="60" priority="61" operator="equal">
      <formula>"x"</formula>
    </cfRule>
  </conditionalFormatting>
  <conditionalFormatting sqref="L59:L113">
    <cfRule type="cellIs" dxfId="59" priority="58" operator="greaterThan">
      <formula>5</formula>
    </cfRule>
    <cfRule type="cellIs" dxfId="58" priority="59" operator="between">
      <formula>4</formula>
      <formula>5</formula>
    </cfRule>
    <cfRule type="cellIs" dxfId="57" priority="60" operator="between">
      <formula>1</formula>
      <formula>3</formula>
    </cfRule>
  </conditionalFormatting>
  <conditionalFormatting sqref="L59:L113">
    <cfRule type="cellIs" dxfId="56" priority="57" operator="equal">
      <formula>-1</formula>
    </cfRule>
  </conditionalFormatting>
  <conditionalFormatting sqref="L59:L113">
    <cfRule type="cellIs" dxfId="55" priority="56" operator="equal">
      <formula>"x"</formula>
    </cfRule>
  </conditionalFormatting>
  <conditionalFormatting sqref="L123:L124">
    <cfRule type="cellIs" dxfId="54" priority="53" operator="greaterThan">
      <formula>5</formula>
    </cfRule>
    <cfRule type="cellIs" dxfId="53" priority="54" operator="between">
      <formula>4</formula>
      <formula>5</formula>
    </cfRule>
    <cfRule type="cellIs" dxfId="52" priority="55" operator="between">
      <formula>1</formula>
      <formula>3</formula>
    </cfRule>
  </conditionalFormatting>
  <conditionalFormatting sqref="L123:L124">
    <cfRule type="cellIs" dxfId="51" priority="52" operator="equal">
      <formula>-1</formula>
    </cfRule>
  </conditionalFormatting>
  <conditionalFormatting sqref="L123:L124">
    <cfRule type="cellIs" dxfId="50" priority="51" operator="equal">
      <formula>"x"</formula>
    </cfRule>
  </conditionalFormatting>
  <conditionalFormatting sqref="L127:L171">
    <cfRule type="cellIs" dxfId="49" priority="48" operator="greaterThan">
      <formula>5</formula>
    </cfRule>
    <cfRule type="cellIs" dxfId="48" priority="49" operator="between">
      <formula>4</formula>
      <formula>5</formula>
    </cfRule>
    <cfRule type="cellIs" dxfId="47" priority="50" operator="between">
      <formula>1</formula>
      <formula>3</formula>
    </cfRule>
  </conditionalFormatting>
  <conditionalFormatting sqref="L127:L171">
    <cfRule type="cellIs" dxfId="46" priority="47" operator="equal">
      <formula>-1</formula>
    </cfRule>
  </conditionalFormatting>
  <conditionalFormatting sqref="L127:L171">
    <cfRule type="cellIs" dxfId="45" priority="46" operator="equal">
      <formula>"x"</formula>
    </cfRule>
  </conditionalFormatting>
  <conditionalFormatting sqref="L174:L180">
    <cfRule type="cellIs" dxfId="44" priority="43" operator="greaterThan">
      <formula>5</formula>
    </cfRule>
    <cfRule type="cellIs" dxfId="43" priority="44" operator="between">
      <formula>4</formula>
      <formula>5</formula>
    </cfRule>
    <cfRule type="cellIs" dxfId="42" priority="45" operator="between">
      <formula>1</formula>
      <formula>3</formula>
    </cfRule>
  </conditionalFormatting>
  <conditionalFormatting sqref="L174:L180">
    <cfRule type="cellIs" dxfId="41" priority="42" operator="equal">
      <formula>-1</formula>
    </cfRule>
  </conditionalFormatting>
  <conditionalFormatting sqref="L174:L180">
    <cfRule type="cellIs" dxfId="40" priority="41" operator="equal">
      <formula>"x"</formula>
    </cfRule>
  </conditionalFormatting>
  <conditionalFormatting sqref="L182:L234">
    <cfRule type="cellIs" dxfId="39" priority="38" operator="greaterThan">
      <formula>5</formula>
    </cfRule>
    <cfRule type="cellIs" dxfId="38" priority="39" operator="between">
      <formula>4</formula>
      <formula>5</formula>
    </cfRule>
    <cfRule type="cellIs" dxfId="37" priority="40" operator="between">
      <formula>1</formula>
      <formula>3</formula>
    </cfRule>
  </conditionalFormatting>
  <conditionalFormatting sqref="L182:L234">
    <cfRule type="cellIs" dxfId="36" priority="37" operator="equal">
      <formula>-1</formula>
    </cfRule>
  </conditionalFormatting>
  <conditionalFormatting sqref="L182:L234">
    <cfRule type="cellIs" dxfId="35" priority="36" operator="equal">
      <formula>"x"</formula>
    </cfRule>
  </conditionalFormatting>
  <conditionalFormatting sqref="L242:L256">
    <cfRule type="cellIs" dxfId="34" priority="33" operator="greaterThan">
      <formula>5</formula>
    </cfRule>
    <cfRule type="cellIs" dxfId="33" priority="34" operator="between">
      <formula>4</formula>
      <formula>5</formula>
    </cfRule>
    <cfRule type="cellIs" dxfId="32" priority="35" operator="between">
      <formula>1</formula>
      <formula>3</formula>
    </cfRule>
  </conditionalFormatting>
  <conditionalFormatting sqref="L242:L256">
    <cfRule type="cellIs" dxfId="31" priority="32" operator="equal">
      <formula>-1</formula>
    </cfRule>
  </conditionalFormatting>
  <conditionalFormatting sqref="L242:L256">
    <cfRule type="cellIs" dxfId="30" priority="31" operator="equal">
      <formula>"x"</formula>
    </cfRule>
  </conditionalFormatting>
  <conditionalFormatting sqref="L262:L265">
    <cfRule type="cellIs" dxfId="29" priority="28" operator="greaterThan">
      <formula>5</formula>
    </cfRule>
    <cfRule type="cellIs" dxfId="28" priority="29" operator="between">
      <formula>4</formula>
      <formula>5</formula>
    </cfRule>
    <cfRule type="cellIs" dxfId="27" priority="30" operator="between">
      <formula>1</formula>
      <formula>3</formula>
    </cfRule>
  </conditionalFormatting>
  <conditionalFormatting sqref="L262:L265">
    <cfRule type="cellIs" dxfId="26" priority="27" operator="equal">
      <formula>-1</formula>
    </cfRule>
  </conditionalFormatting>
  <conditionalFormatting sqref="L262:L265">
    <cfRule type="cellIs" dxfId="25" priority="26" operator="equal">
      <formula>"x"</formula>
    </cfRule>
  </conditionalFormatting>
  <conditionalFormatting sqref="L268:L275">
    <cfRule type="cellIs" dxfId="24" priority="23" operator="greaterThan">
      <formula>5</formula>
    </cfRule>
    <cfRule type="cellIs" dxfId="23" priority="24" operator="between">
      <formula>4</formula>
      <formula>5</formula>
    </cfRule>
    <cfRule type="cellIs" dxfId="22" priority="25" operator="between">
      <formula>1</formula>
      <formula>3</formula>
    </cfRule>
  </conditionalFormatting>
  <conditionalFormatting sqref="L268:L275">
    <cfRule type="cellIs" dxfId="21" priority="22" operator="equal">
      <formula>-1</formula>
    </cfRule>
  </conditionalFormatting>
  <conditionalFormatting sqref="L268:L275">
    <cfRule type="cellIs" dxfId="20" priority="21" operator="equal">
      <formula>"x"</formula>
    </cfRule>
  </conditionalFormatting>
  <conditionalFormatting sqref="L277:L309">
    <cfRule type="cellIs" dxfId="19" priority="18" operator="greaterThan">
      <formula>5</formula>
    </cfRule>
    <cfRule type="cellIs" dxfId="18" priority="19" operator="between">
      <formula>4</formula>
      <formula>5</formula>
    </cfRule>
    <cfRule type="cellIs" dxfId="17" priority="20" operator="between">
      <formula>1</formula>
      <formula>3</formula>
    </cfRule>
  </conditionalFormatting>
  <conditionalFormatting sqref="L277:L309">
    <cfRule type="cellIs" dxfId="16" priority="17" operator="equal">
      <formula>-1</formula>
    </cfRule>
  </conditionalFormatting>
  <conditionalFormatting sqref="L277:L309">
    <cfRule type="cellIs" dxfId="15" priority="16" operator="equal">
      <formula>"x"</formula>
    </cfRule>
  </conditionalFormatting>
  <conditionalFormatting sqref="L343">
    <cfRule type="cellIs" dxfId="14" priority="13" operator="greaterThan">
      <formula>5</formula>
    </cfRule>
    <cfRule type="cellIs" dxfId="13" priority="14" operator="between">
      <formula>4</formula>
      <formula>5</formula>
    </cfRule>
    <cfRule type="cellIs" dxfId="12" priority="15" operator="between">
      <formula>1</formula>
      <formula>3</formula>
    </cfRule>
  </conditionalFormatting>
  <conditionalFormatting sqref="L343">
    <cfRule type="cellIs" dxfId="11" priority="12" operator="equal">
      <formula>-1</formula>
    </cfRule>
  </conditionalFormatting>
  <conditionalFormatting sqref="L343">
    <cfRule type="cellIs" dxfId="10" priority="11" operator="equal">
      <formula>"x"</formula>
    </cfRule>
  </conditionalFormatting>
  <conditionalFormatting sqref="N6:N357">
    <cfRule type="cellIs" dxfId="9" priority="8" operator="greaterThan">
      <formula>5</formula>
    </cfRule>
    <cfRule type="cellIs" dxfId="8" priority="9" operator="between">
      <formula>4</formula>
      <formula>5</formula>
    </cfRule>
    <cfRule type="cellIs" dxfId="7" priority="10" operator="between">
      <formula>1</formula>
      <formula>3</formula>
    </cfRule>
  </conditionalFormatting>
  <conditionalFormatting sqref="N6:N357">
    <cfRule type="cellIs" dxfId="6" priority="7" operator="equal">
      <formula>-1</formula>
    </cfRule>
  </conditionalFormatting>
  <conditionalFormatting sqref="N6:N357">
    <cfRule type="cellIs" dxfId="5" priority="6" operator="equal">
      <formula>"x"</formula>
    </cfRule>
  </conditionalFormatting>
  <conditionalFormatting sqref="O6:O357">
    <cfRule type="cellIs" dxfId="4" priority="3" operator="equal">
      <formula>"High"</formula>
    </cfRule>
    <cfRule type="cellIs" dxfId="3" priority="4" operator="equal">
      <formula>"Med"</formula>
    </cfRule>
    <cfRule type="cellIs" dxfId="2" priority="5" operator="equal">
      <formula>"Low"</formula>
    </cfRule>
  </conditionalFormatting>
  <conditionalFormatting sqref="O6:O357">
    <cfRule type="cellIs" dxfId="1" priority="2" operator="equal">
      <formula>-1</formula>
    </cfRule>
  </conditionalFormatting>
  <conditionalFormatting sqref="O6:O357">
    <cfRule type="cellIs" dxfId="0" priority="1" operator="equal">
      <formula>"x"</formula>
    </cfRule>
  </conditionalFormatting>
  <dataValidations count="1">
    <dataValidation type="list" allowBlank="1" showInputMessage="1" showErrorMessage="1" sqref="O6:O357" xr:uid="{075DA897-CF82-4B64-8448-829C2A9E0955}">
      <formula1>$Y$1:$Y$3</formula1>
    </dataValidation>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astReviewDate xmlns="cc7fbaa3-8214-4644-99f1-d2e5a6ae9914" xsi:nil="true"/>
    <RevisionNumber xmlns="cc7fbaa3-8214-4644-99f1-d2e5a6ae9914" xsi:nil="true"/>
    <Process_x0020_Owmer xmlns="25586fb6-ed09-4f2d-8ea7-eda1a9fd2320">
      <UserInfo>
        <DisplayName>Conway, Ross (GE Vernova)</DisplayName>
        <AccountId>471</AccountId>
        <AccountType/>
      </UserInfo>
    </Process_x0020_Owmer>
    <Functional_x0020_Owner xmlns="25586fb6-ed09-4f2d-8ea7-eda1a9fd2320">Management Processes - Leadership and Commitment</Functional_x0020_Owner>
    <Nomenclature xmlns="25586fb6-ed09-4f2d-8ea7-eda1a9fd2320"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AABA2F64D6E2C740A2EFD32F6136F44B" ma:contentTypeVersion="31" ma:contentTypeDescription="Create a new document." ma:contentTypeScope="" ma:versionID="f6d5169442be2795745eeba6edf0f975">
  <xsd:schema xmlns:xsd="http://www.w3.org/2001/XMLSchema" xmlns:xs="http://www.w3.org/2001/XMLSchema" xmlns:p="http://schemas.microsoft.com/office/2006/metadata/properties" xmlns:ns2="25586fb6-ed09-4f2d-8ea7-eda1a9fd2320" xmlns:ns3="cc7fbaa3-8214-4644-99f1-d2e5a6ae9914" xmlns:ns4="f0c7a816-7a7e-42fb-b4dd-eafc20cb049d" targetNamespace="http://schemas.microsoft.com/office/2006/metadata/properties" ma:root="true" ma:fieldsID="1d6046f623722b44c576f527ef753e5d" ns2:_="" ns3:_="" ns4:_="">
    <xsd:import namespace="25586fb6-ed09-4f2d-8ea7-eda1a9fd2320"/>
    <xsd:import namespace="cc7fbaa3-8214-4644-99f1-d2e5a6ae9914"/>
    <xsd:import namespace="f0c7a816-7a7e-42fb-b4dd-eafc20cb049d"/>
    <xsd:element name="properties">
      <xsd:complexType>
        <xsd:sequence>
          <xsd:element name="documentManagement">
            <xsd:complexType>
              <xsd:all>
                <xsd:element ref="ns2:Process_x0020_Owmer"/>
                <xsd:element ref="ns2:Functional_x0020_Owner"/>
                <xsd:element ref="ns3:LastReviewDate" minOccurs="0"/>
                <xsd:element ref="ns2:Nomenclature" minOccurs="0"/>
                <xsd:element ref="ns3:RevisionNumber" minOccurs="0"/>
                <xsd:element ref="ns2:MediaServiceMetadata" minOccurs="0"/>
                <xsd:element ref="ns2:MediaServiceFastMetadata" minOccurs="0"/>
                <xsd:element ref="ns3:MediaServiceAutoKeyPoints" minOccurs="0"/>
                <xsd:element ref="ns3:MediaServiceKeyPoints" minOccurs="0"/>
                <xsd:element ref="ns4:SharedWithUsers" minOccurs="0"/>
                <xsd:element ref="ns4:SharedWithDetails" minOccurs="0"/>
                <xsd:element ref="ns3:MediaServiceDateTaken" minOccurs="0"/>
                <xsd:element ref="ns3:MediaLengthInSeconds"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5586fb6-ed09-4f2d-8ea7-eda1a9fd2320" elementFormDefault="qualified">
    <xsd:import namespace="http://schemas.microsoft.com/office/2006/documentManagement/types"/>
    <xsd:import namespace="http://schemas.microsoft.com/office/infopath/2007/PartnerControls"/>
    <xsd:element name="Process_x0020_Owmer" ma:index="1" ma:displayName="Have a question? Email the Process Owner" ma:description="Discuss Audit Findings and QWI Updates with the Responsible Person" ma:list="UserInfo" ma:SharePointGroup="0" ma:internalName="Process_x0020_Owmer" ma:readOnly="false" ma:showField="NameWithPictureAndDetails">
      <xsd:complexType>
        <xsd:complexContent>
          <xsd:extension base="dms:User">
            <xsd:sequence>
              <xsd:element name="UserInfo" minOccurs="0" maxOccurs="unbounded">
                <xsd:complexType>
                  <xsd:sequence>
                    <xsd:element name="DisplayName" type="xsd:string" minOccurs="0"/>
                    <xsd:element name="AccountId" type="dms:UserId" minOccurs="0"/>
                    <xsd:element name="AccountType" type="xsd:string" minOccurs="0"/>
                  </xsd:sequence>
                </xsd:complexType>
              </xsd:element>
            </xsd:sequence>
          </xsd:extension>
        </xsd:complexContent>
      </xsd:complexType>
    </xsd:element>
    <xsd:element name="Functional_x0020_Owner" ma:index="2" ma:displayName="Function" ma:default="Management Processes - Leadership and Commitment" ma:description="Management Processes - Leadership and Commitment" ma:format="Dropdown" ma:internalName="Functional_x0020_Owner" ma:readOnly="false">
      <xsd:simpleType>
        <xsd:restriction base="dms:Text">
          <xsd:maxLength value="255"/>
        </xsd:restriction>
      </xsd:simpleType>
    </xsd:element>
    <xsd:element name="Nomenclature" ma:index="4" nillable="true" ma:displayName="Document Number" ma:format="Dropdown" ma:internalName="Nomenclature" ma:readOnly="false">
      <xsd:simpleType>
        <xsd:restriction base="dms:Text">
          <xsd:maxLength value="255"/>
        </xsd:restriction>
      </xsd:simpleType>
    </xsd:element>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c7fbaa3-8214-4644-99f1-d2e5a6ae9914" elementFormDefault="qualified">
    <xsd:import namespace="http://schemas.microsoft.com/office/2006/documentManagement/types"/>
    <xsd:import namespace="http://schemas.microsoft.com/office/infopath/2007/PartnerControls"/>
    <xsd:element name="LastReviewDate" ma:index="3" nillable="true" ma:displayName="Last Review Date" ma:description="The date the procedure was last reviewed or revised" ma:format="DateOnly" ma:internalName="LastReviewDate" ma:readOnly="false">
      <xsd:simpleType>
        <xsd:restriction base="dms:DateTime"/>
      </xsd:simpleType>
    </xsd:element>
    <xsd:element name="RevisionNumber" ma:index="5" nillable="true" ma:displayName="Revision Number" ma:decimals="1" ma:description="The current revision published" ma:format="Dropdown" ma:internalName="RevisionNumber" ma:readOnly="false" ma:percentage="FALSE">
      <xsd:simpleType>
        <xsd:restriction base="dms:Number"/>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hidden="true" ma:internalName="MediaServiceKeyPoints" ma:readOnly="true">
      <xsd:simpleType>
        <xsd:restriction base="dms:Note"/>
      </xsd:simpleType>
    </xsd:element>
    <xsd:element name="MediaServiceDateTaken" ma:index="17" nillable="true" ma:displayName="MediaServiceDateTaken" ma:hidden="true" ma:indexed="true" ma:internalName="MediaServiceDateTake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MediaServiceObjectDetectorVersions" ma:index="19" nillable="true" ma:displayName="MediaServiceObjectDetectorVersions" ma:hidden="true" ma:indexed="true" ma:internalName="MediaServiceObjectDetectorVersions" ma:readOnly="true">
      <xsd:simpleType>
        <xsd:restriction base="dms:Text"/>
      </xsd:simpleType>
    </xsd:element>
    <xsd:element name="MediaServiceSearchProperties" ma:index="20"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0c7a816-7a7e-42fb-b4dd-eafc20cb049d" elementFormDefault="qualified">
    <xsd:import namespace="http://schemas.microsoft.com/office/2006/documentManagement/types"/>
    <xsd:import namespace="http://schemas.microsoft.com/office/infopath/2007/PartnerControls"/>
    <xsd:element name="SharedWithUsers" ma:index="15" nillable="true" ma:displayName="Shared With"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hidden="true" ma:internalName="SharedWithDetail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displayName="QMS Lev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B707E65-463A-42F3-83D1-3090DF57F560}"/>
</file>

<file path=customXml/itemProps2.xml><?xml version="1.0" encoding="utf-8"?>
<ds:datastoreItem xmlns:ds="http://schemas.openxmlformats.org/officeDocument/2006/customXml" ds:itemID="{3FAC22A6-DBCF-41A6-830C-C38E9CA4F1A6}"/>
</file>

<file path=customXml/itemProps3.xml><?xml version="1.0" encoding="utf-8"?>
<ds:datastoreItem xmlns:ds="http://schemas.openxmlformats.org/officeDocument/2006/customXml" ds:itemID="{67E57CAD-AA1F-4B63-8698-11EB9B9C9799}"/>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Edwards, Mark (FieldCore)</dc:creator>
  <cp:keywords/>
  <dc:description/>
  <cp:lastModifiedBy/>
  <cp:revision/>
  <dcterms:created xsi:type="dcterms:W3CDTF">2020-02-07T11:44:21Z</dcterms:created>
  <dcterms:modified xsi:type="dcterms:W3CDTF">2025-03-31T17:30:43Z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0x010100AABA2F64D6E2C740A2EFD32F6136F44B</vt:lpwstr>
  </property>
</Properties>
</file>