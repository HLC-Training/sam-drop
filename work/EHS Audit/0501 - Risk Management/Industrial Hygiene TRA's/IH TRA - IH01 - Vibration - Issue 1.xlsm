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07"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AFBD2583-C1AF-4B51-99B3-384E12A95302}" xr6:coauthVersionLast="47" xr6:coauthVersionMax="47" xr10:uidLastSave="{00000000-0000-0000-0000-000000000000}"/>
  <bookViews>
    <workbookView xWindow="-120" yWindow="-120" windowWidth="29040" windowHeight="15840" xr2:uid="{12A20157-04E8-41C7-A0CE-DD1E97B87015}"/>
  </bookViews>
  <sheets>
    <sheet name="TRA_English" sheetId="1" r:id="rId1"/>
    <sheet name="Severity Guidance" sheetId="4" r:id="rId2"/>
    <sheet name="Risk Calculator_Guidance" sheetId="3" r:id="rId3"/>
    <sheet name="Note" sheetId="5" r:id="rId4"/>
    <sheet name="Hazard_Defense_Code" sheetId="6" r:id="rId5"/>
  </sheets>
  <externalReferences>
    <externalReference r:id="rId6"/>
    <externalReference r:id="rId7"/>
  </externalReferences>
  <definedNames>
    <definedName name="_xlnm._FilterDatabase" localSheetId="4" hidden="1">Hazard_Defense_Code!$A$1:$F$132</definedName>
    <definedName name="ALARP" localSheetId="4">'[1]Data - Project'!#REF!</definedName>
    <definedName name="ALARP">'[1]Data - Project'!#REF!</definedName>
    <definedName name="FormExp">'[1]Data - HRA'!$A$9:$A$17</definedName>
    <definedName name="Graph_Options" localSheetId="4">#REF!</definedName>
    <definedName name="Graph_Options">#REF!</definedName>
    <definedName name="HazSerNo">OFFSET('[1]Project HHI(Example)'!$A$3,0,0,COUNT('[1]Project HHI(Example)'!$A:$A),1)</definedName>
    <definedName name="HHG">'[1]Data - HRA'!$C$2:$C$6</definedName>
    <definedName name="List" localSheetId="4">#REF!</definedName>
    <definedName name="List">#REF!</definedName>
    <definedName name="NA" localSheetId="4">'[2]Weekly Site Inspection'!#REF!,'[2]Weekly Site Inspection'!$I$13:$I$17,'[2]Weekly Site Inspection'!$I$34:$I$95</definedName>
    <definedName name="NA">'[2]Weekly Site Inspection'!#REF!,'[2]Weekly Site Inspection'!$I$13:$I$17,'[2]Weekly Site Inspection'!$I$34:$I$95</definedName>
    <definedName name="NC" localSheetId="4">'[2]Weekly Site Inspection'!#REF!,'[2]Weekly Site Inspection'!$H$13:$H$17,'[2]Weekly Site Inspection'!$H$34:$H$95</definedName>
    <definedName name="NC">'[2]Weekly Site Inspection'!#REF!,'[2]Weekly Site Inspection'!$H$13:$H$17,'[2]Weekly Site Inspection'!$H$34:$H$95</definedName>
    <definedName name="_xlnm.Print_Area" localSheetId="1">'Severity Guidance'!$B$2:$H$7</definedName>
    <definedName name="_xlnm.Print_Area" localSheetId="0">TRA_English!$A$1:$Y$34</definedName>
    <definedName name="RAM" localSheetId="4">#REF!</definedName>
    <definedName name="RAM">#REF!</definedName>
    <definedName name="RouteExp">'[1]Data - HRA'!$A$2:$A$7</definedName>
    <definedName name="X" localSheetId="4">#REF!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4" i="6" l="1"/>
  <c r="D57" i="6" l="1"/>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3" i="6"/>
  <c r="D22" i="6"/>
  <c r="D21" i="6"/>
  <c r="D20" i="6"/>
  <c r="D19" i="6"/>
  <c r="D18" i="6"/>
  <c r="D17" i="6"/>
  <c r="D16" i="6"/>
  <c r="D15" i="6"/>
  <c r="D14" i="6"/>
  <c r="D13" i="6"/>
  <c r="D12" i="6"/>
  <c r="D11" i="6"/>
  <c r="D10" i="6"/>
  <c r="D9" i="6"/>
  <c r="D8" i="6"/>
  <c r="D7" i="6"/>
  <c r="D6" i="6"/>
  <c r="D5" i="6"/>
  <c r="D4" i="6"/>
  <c r="D3" i="6"/>
  <c r="D2" i="6"/>
  <c r="U6" i="1" l="1"/>
  <c r="O29" i="1" l="1"/>
  <c r="O28" i="1"/>
  <c r="O27" i="1"/>
  <c r="O26" i="1"/>
  <c r="O25" i="1"/>
  <c r="O24" i="1"/>
  <c r="O23" i="1"/>
  <c r="O22" i="1"/>
  <c r="O21" i="1"/>
  <c r="O20" i="1"/>
  <c r="O19" i="1"/>
  <c r="H29" i="1"/>
  <c r="H28" i="1"/>
  <c r="H27" i="1"/>
  <c r="H26" i="1"/>
  <c r="H25" i="1"/>
  <c r="H24" i="1"/>
  <c r="H23" i="1"/>
  <c r="H22" i="1"/>
  <c r="H21" i="1"/>
  <c r="H20" i="1"/>
  <c r="H19" i="1"/>
  <c r="C12" i="3" l="1"/>
  <c r="C13" i="3"/>
  <c r="D71" i="6" l="1"/>
  <c r="K29" i="1" l="1"/>
  <c r="K28" i="1"/>
  <c r="K25" i="1" l="1"/>
  <c r="K23" i="1"/>
  <c r="K22" i="1"/>
  <c r="K20" i="1" l="1"/>
  <c r="K21" i="1"/>
  <c r="K24" i="1"/>
  <c r="K26" i="1"/>
  <c r="K27" i="1"/>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<sst xmlns="http://schemas.openxmlformats.org/spreadsheetml/2006/main" count="425" uniqueCount="373">
  <si>
    <t>TITLE:</t>
  </si>
  <si>
    <t>DOCUMENT NUMBER:</t>
  </si>
  <si>
    <t>TASK RISK ASSESSMENT</t>
  </si>
  <si>
    <r>
      <rPr>
        <sz val="11"/>
        <color theme="1"/>
        <rFont val="Montserrat SemiBold"/>
      </rPr>
      <t>FC-GL-EHS-MAN-0501-F3</t>
    </r>
    <r>
      <rPr>
        <sz val="10"/>
        <color theme="1"/>
        <rFont val="Montserrat SemiBold"/>
      </rPr>
      <t xml:space="preserve"> </t>
    </r>
    <r>
      <rPr>
        <sz val="8"/>
        <color theme="1"/>
        <rFont val="Montserrat SemiBold"/>
      </rPr>
      <t>(Tab Q)</t>
    </r>
  </si>
  <si>
    <t>REGION:</t>
  </si>
  <si>
    <t>ISSUE:</t>
  </si>
  <si>
    <t>DATE:</t>
  </si>
  <si>
    <t>PAGE:</t>
  </si>
  <si>
    <t>GLOBAL</t>
  </si>
  <si>
    <t>1 of 1</t>
  </si>
  <si>
    <t>WORK ACTIVITY:</t>
  </si>
  <si>
    <t>PROCEDURE REFERENCE NUMBER:</t>
  </si>
  <si>
    <t>Iss / Rev</t>
  </si>
  <si>
    <t>TRA No.</t>
  </si>
  <si>
    <t>Iss / Rev:</t>
  </si>
  <si>
    <t>Date:</t>
  </si>
  <si>
    <t>Using a Power Tool: Grinders etc (Vibration)</t>
  </si>
  <si>
    <t xml:space="preserve">FC-GL-EHS-SAF-0801 </t>
  </si>
  <si>
    <t>IH TRA - IH1</t>
  </si>
  <si>
    <t>PERSONNEL IMPACTED (Tick all applicable)</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</si>
  <si>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</si>
  <si>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</si>
  <si>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</si>
  <si>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</si>
  <si>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</si>
  <si>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</si>
  <si>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</si>
  <si>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</si>
  <si>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</si>
  <si>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</si>
  <si>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</si>
  <si>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</si>
  <si>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</si>
  <si>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</si>
  <si>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</si>
  <si>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</si>
  <si>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</si>
  <si>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</si>
  <si>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</si>
  <si>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</si>
  <si>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</si>
  <si>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</si>
  <si>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</si>
  <si>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</si>
  <si>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</si>
  <si>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</si>
  <si>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</si>
  <si>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</si>
  <si>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</si>
  <si>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</si>
  <si>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</si>
  <si>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</si>
  <si>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</si>
  <si>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</si>
  <si>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</si>
  <si>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</si>
  <si>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</si>
  <si>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</si>
  <si>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</si>
  <si>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</si>
  <si>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</si>
  <si>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</si>
  <si>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</si>
  <si>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</si>
  <si>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</si>
  <si>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Engineered Defence - Eliminated (Subtitute)</t>
    </r>
  </si>
  <si>
    <t>Vibration
Health Risk (Chronic) HAVs</t>
  </si>
  <si>
    <t>Equipment Selection
Low Vibration Tool</t>
  </si>
  <si>
    <r>
      <rPr>
        <b/>
        <sz val="7"/>
        <color theme="1"/>
        <rFont val="Montserrat"/>
      </rPr>
      <t>Select the lowest vibration tool</t>
    </r>
    <r>
      <rPr>
        <sz val="7"/>
        <color theme="1"/>
        <rFont val="Montserrat"/>
      </rPr>
      <t xml:space="preserve"> that is suitable and can do the work efficiently</t>
    </r>
  </si>
  <si>
    <t>Equipment Selection
Low Vibration Purchasing Policy
Low Vibration Tool</t>
  </si>
  <si>
    <r>
      <t xml:space="preserve">• </t>
    </r>
    <r>
      <rPr>
        <b/>
        <sz val="7"/>
        <color theme="1"/>
        <rFont val="Montserrat"/>
      </rPr>
      <t>Tools purchasing</t>
    </r>
    <r>
      <rPr>
        <sz val="7"/>
        <color theme="1"/>
        <rFont val="Montserrat"/>
      </rPr>
      <t xml:space="preserve"> process to include request for Trigger times/Vibration Data, </t>
    </r>
    <r>
      <rPr>
        <b/>
        <sz val="7"/>
        <color theme="1"/>
        <rFont val="Montserrat"/>
      </rPr>
      <t>choose less vibrating and quieter tools</t>
    </r>
    <r>
      <rPr>
        <sz val="7"/>
        <color theme="1"/>
        <rFont val="Montserrat"/>
      </rPr>
      <t xml:space="preserve">
</t>
    </r>
  </si>
  <si>
    <r>
      <rPr>
        <b/>
        <sz val="7"/>
        <color theme="1"/>
        <rFont val="Montserrat"/>
      </rPr>
      <t>Before Wor</t>
    </r>
    <r>
      <rPr>
        <sz val="7"/>
        <color theme="1"/>
        <rFont val="Montserrat"/>
      </rPr>
      <t>k Engineered Defence - detect</t>
    </r>
  </si>
  <si>
    <t>Maintenance
Preventative Maintenance</t>
  </si>
  <si>
    <r>
      <rPr>
        <b/>
        <sz val="7"/>
        <color theme="1"/>
        <rFont val="Montserrat"/>
      </rPr>
      <t>Introduce appropriate maintenance programmes</t>
    </r>
    <r>
      <rPr>
        <sz val="7"/>
        <color theme="1"/>
        <rFont val="Montserrat"/>
      </rPr>
      <t xml:space="preserve"> for your equipment to prevent avoidable increases in vibration</t>
    </r>
  </si>
  <si>
    <r>
      <rPr>
        <b/>
        <sz val="7"/>
        <color theme="1"/>
        <rFont val="Montserrat"/>
      </rPr>
      <t>Before Work</t>
    </r>
    <r>
      <rPr>
        <sz val="7"/>
        <color theme="1"/>
        <rFont val="Montserrat"/>
      </rPr>
      <t xml:space="preserve"> Admin Defence </t>
    </r>
  </si>
  <si>
    <t xml:space="preserve">Health Surveillance
Risk Assessment Review </t>
  </si>
  <si>
    <r>
      <rPr>
        <b/>
        <sz val="7"/>
        <color theme="1"/>
        <rFont val="Montserrat"/>
      </rPr>
      <t>• Implement a suitable health surveillance program</t>
    </r>
    <r>
      <rPr>
        <sz val="7"/>
        <color theme="1"/>
        <rFont val="Montserrat"/>
      </rPr>
      <t xml:space="preserve"> for affected employees </t>
    </r>
    <r>
      <rPr>
        <i/>
        <sz val="7"/>
        <color theme="1"/>
        <rFont val="Montserrat"/>
      </rPr>
      <t>(Vibration &amp; Noise)</t>
    </r>
    <r>
      <rPr>
        <sz val="7"/>
        <color theme="1"/>
        <rFont val="Montserrat"/>
      </rPr>
      <t xml:space="preserve">
</t>
    </r>
    <r>
      <rPr>
        <b/>
        <sz val="7"/>
        <color theme="1"/>
        <rFont val="Montserrat"/>
      </rPr>
      <t>• Health Surveillance results</t>
    </r>
    <r>
      <rPr>
        <sz val="7"/>
        <color theme="1"/>
        <rFont val="Montserrat"/>
      </rPr>
      <t xml:space="preserve">  discuss with the health service and FC Occupational Health Manager 
</t>
    </r>
    <r>
      <rPr>
        <b/>
        <sz val="7"/>
        <color theme="1"/>
        <rFont val="Montserrat"/>
      </rPr>
      <t>• IF adverse Health outcomes</t>
    </r>
    <r>
      <rPr>
        <sz val="7"/>
        <color theme="1"/>
        <rFont val="Montserrat"/>
      </rPr>
      <t xml:space="preserve"> found to enable review of Control strategy effectiveness.</t>
    </r>
  </si>
  <si>
    <t>POWRA
POWGA  (Grinding)
Vibration Management
Wearable sensor
Personal Vibration Logging (e.g. Booklets)</t>
  </si>
  <si>
    <r>
      <rPr>
        <b/>
        <sz val="7"/>
        <color theme="1"/>
        <rFont val="Montserrat"/>
      </rPr>
      <t>Conduct assessment (review vibration level)</t>
    </r>
    <r>
      <rPr>
        <sz val="7"/>
        <color theme="1"/>
        <rFont val="Montserrat"/>
      </rPr>
      <t xml:space="preserve">  </t>
    </r>
    <r>
      <rPr>
        <b/>
        <sz val="7"/>
        <color theme="1"/>
        <rFont val="Montserrat"/>
      </rPr>
      <t xml:space="preserve">to determine risk </t>
    </r>
    <r>
      <rPr>
        <sz val="7"/>
        <color theme="1"/>
        <rFont val="Montserrat"/>
      </rPr>
      <t>from vibration from tools used in task</t>
    </r>
  </si>
  <si>
    <r>
      <rPr>
        <b/>
        <sz val="7"/>
        <color theme="1"/>
        <rFont val="Montserrat"/>
      </rPr>
      <t>Planning</t>
    </r>
    <r>
      <rPr>
        <sz val="7"/>
        <color theme="1"/>
        <rFont val="Montserrat"/>
      </rPr>
      <t xml:space="preserve"> Admin Defence </t>
    </r>
  </si>
  <si>
    <t>Work Schedules 
Time Limitation/Freq Breaks
Job Rotation</t>
  </si>
  <si>
    <r>
      <rPr>
        <b/>
        <sz val="7"/>
        <color theme="1"/>
        <rFont val="Montserrat"/>
      </rPr>
      <t>• Limit the time that workers  are exposed to vibration</t>
    </r>
    <r>
      <rPr>
        <sz val="7"/>
        <color theme="1"/>
        <rFont val="Montserrat"/>
      </rPr>
      <t xml:space="preserve">.  
</t>
    </r>
    <r>
      <rPr>
        <b/>
        <sz val="7"/>
        <color theme="1"/>
        <rFont val="Montserrat"/>
      </rPr>
      <t>• Plan work</t>
    </r>
    <r>
      <rPr>
        <sz val="7"/>
        <color theme="1"/>
        <rFont val="Montserrat"/>
      </rPr>
      <t xml:space="preserve"> to avoid individuals being exposed to vibration for long, continuous periods 
• Where tools require continual or frequent use, introduce employee rotas i.e. </t>
    </r>
    <r>
      <rPr>
        <b/>
        <sz val="7"/>
        <color theme="1"/>
        <rFont val="Montserrat"/>
      </rPr>
      <t xml:space="preserve">Use Job rotation to limit exposure times </t>
    </r>
  </si>
  <si>
    <t>Training/Competency
Work Instruction
Vibration Management</t>
  </si>
  <si>
    <t xml:space="preserve">Provide employees with suitable &amp; adequate training &amp; awareness on hazards related to  vibration &amp; HAV’s. </t>
  </si>
  <si>
    <t xml:space="preserve">Using the Equipment - Admin Defence </t>
  </si>
  <si>
    <t>Vibration Management
Personal Vibration Logging (e.g. Booklets)</t>
  </si>
  <si>
    <r>
      <rPr>
        <b/>
        <sz val="7"/>
        <color theme="1"/>
        <rFont val="Montserrat"/>
      </rPr>
      <t>• Record exposure time  vibration exposure</t>
    </r>
    <r>
      <rPr>
        <sz val="7"/>
        <color theme="1"/>
        <rFont val="Montserrat"/>
      </rPr>
      <t xml:space="preserve"> (ie tool useage, trigger time) Record within booklet or via Reactec digital monitoring equipment (or similar system).  </t>
    </r>
    <r>
      <rPr>
        <b/>
        <sz val="7"/>
        <color theme="1"/>
        <rFont val="Montserrat"/>
      </rPr>
      <t>Plan to limit tooling use</t>
    </r>
    <r>
      <rPr>
        <sz val="7"/>
        <color theme="1"/>
        <rFont val="Montserrat"/>
      </rPr>
      <t xml:space="preserve"> before reaching expose limit 5m/s2 (400 points)
</t>
    </r>
    <r>
      <rPr>
        <b/>
        <sz val="7"/>
        <color theme="1"/>
        <rFont val="Montserrat"/>
      </rPr>
      <t>• Report  to managers, supervisors, any vibration problems with the equipment</t>
    </r>
    <r>
      <rPr>
        <sz val="7"/>
        <color theme="1"/>
        <rFont val="Montserrat"/>
      </rPr>
      <t xml:space="preserve"> or the way it is being used e.g. increased or unusual Vibration indicating and issue.. 
</t>
    </r>
    <r>
      <rPr>
        <b/>
        <sz val="7"/>
        <color theme="1"/>
        <rFont val="Montserrat"/>
      </rPr>
      <t xml:space="preserve">• IF issues detected quarantine defective tools </t>
    </r>
    <r>
      <rPr>
        <sz val="7"/>
        <color theme="1"/>
        <rFont val="Montserrat"/>
      </rPr>
      <t xml:space="preserve"> </t>
    </r>
  </si>
  <si>
    <r>
      <rPr>
        <b/>
        <sz val="7"/>
        <color theme="1"/>
        <rFont val="Montserrat"/>
      </rPr>
      <t>Using the Equipment</t>
    </r>
    <r>
      <rPr>
        <sz val="7"/>
        <color theme="1"/>
        <rFont val="Montserrat"/>
      </rPr>
      <t xml:space="preserve"> - Cultural Defence  </t>
    </r>
  </si>
  <si>
    <t>Stop Work
Concern Report
Supervisory Oversight</t>
  </si>
  <si>
    <t>DO NOT USE tools that are displaying unusal/higher vibration. Quarintine these tools.</t>
  </si>
  <si>
    <r>
      <rPr>
        <b/>
        <sz val="7"/>
        <color theme="9"/>
        <rFont val="Montserrat"/>
      </rPr>
      <t xml:space="preserve">Using the Equipment -  </t>
    </r>
    <r>
      <rPr>
        <sz val="7"/>
        <color theme="1"/>
        <rFont val="Montserrat"/>
      </rPr>
      <t xml:space="preserve"> </t>
    </r>
    <r>
      <rPr>
        <b/>
        <sz val="7"/>
        <color theme="1"/>
        <rFont val="Montserrat"/>
      </rPr>
      <t>Control of Health Hazards</t>
    </r>
    <r>
      <rPr>
        <sz val="7"/>
        <color theme="1"/>
        <rFont val="Montserrat"/>
      </rPr>
      <t xml:space="preserve"> Risk (Industrial Hygiene)</t>
    </r>
  </si>
  <si>
    <t>Ergo/WMSD
Manual Handling
Dust, Fume or Grit
Heavy Metals
UV Radiation
Noise
Vibration</t>
  </si>
  <si>
    <t>Ergo Assessment
RPE-Respirator
Barrier/Shielding
Ear Defenders
Hearing Protection
Vibration Management</t>
  </si>
  <si>
    <r>
      <rPr>
        <b/>
        <sz val="7"/>
        <color theme="1"/>
        <rFont val="Montserrat"/>
      </rPr>
      <t>• Ergonomics</t>
    </r>
    <r>
      <rPr>
        <sz val="7"/>
        <color theme="1"/>
        <rFont val="Montserrat"/>
      </rPr>
      <t xml:space="preserve">
o Ensure that the Grinder side handle / multi-position handle and workspace can be set-up to minimise awkward body posture/position and offers good control duration of the work.  
o If Kneeling wear knee pads or floor pads take short breaks after being in one position for a while. 
</t>
    </r>
    <r>
      <rPr>
        <b/>
        <sz val="7"/>
        <color theme="1"/>
        <rFont val="Montserrat"/>
      </rPr>
      <t>• Dust &amp; Particulate</t>
    </r>
    <r>
      <rPr>
        <sz val="7"/>
        <color theme="1"/>
        <rFont val="Montserrat"/>
      </rPr>
      <t xml:space="preserve">
o Allow adequate natural ventilation i.e. open windows &amp; doors and/or use forced ventilation (LEV) or extraction fans should be in place as required to control dust/particulate. FFP3 Respirator should be worn during grinding operations. 
o Air fed RPE incorporating head protection for permanent grinders, Dust &amp; Particulate or equivelent.  Good housekeeping standards, Ensure that all used disks, debris and dust/grit are disposed of through the clients waste streams and the area is left clean and tidy condition
</t>
    </r>
    <r>
      <rPr>
        <b/>
        <sz val="7"/>
        <color theme="1"/>
        <rFont val="Montserrat"/>
      </rPr>
      <t xml:space="preserve">• Light &amp; UV </t>
    </r>
    <r>
      <rPr>
        <sz val="7"/>
        <color theme="1"/>
        <rFont val="Montserrat"/>
      </rPr>
      <t xml:space="preserve">
o Be aware of other workers nearby, especially welding, ensure that blankets are in place to shield from Light/UV hazard including from reflective surfaces.
</t>
    </r>
    <r>
      <rPr>
        <b/>
        <sz val="7"/>
        <color theme="1"/>
        <rFont val="Montserrat"/>
      </rPr>
      <t xml:space="preserve">• Noise
</t>
    </r>
    <r>
      <rPr>
        <sz val="7"/>
        <color theme="1"/>
        <rFont val="Montserrat"/>
      </rPr>
      <t xml:space="preserve">o Correctly rated ear defenders/ear plugs should be worn, by all affected persons, during grinding operations (typical noise levels ~90-105dB(A). 
</t>
    </r>
    <r>
      <rPr>
        <b/>
        <sz val="7"/>
        <color theme="1"/>
        <rFont val="Montserrat"/>
      </rPr>
      <t xml:space="preserve">• Vibration
</t>
    </r>
    <r>
      <rPr>
        <sz val="7"/>
        <color theme="1"/>
        <rFont val="Montserrat"/>
      </rPr>
      <t>o Relaxed grip do not use excessive force. 
o Keep hands warm and exercise fingers regularly.  (Wear insulated gloves in cold and or wet weather)
o Abnormal vibration to be reported by user to Supervisor/Storeman.  
o Select correct e.g. tool &amp; attachment for the task.  Take regular breaks. Job rotation to limit exposure time. 
o Record trigger time usage in book/or wear wearable sensor
o Do Not exceed 5m/s2 or 400 point daily over all tools use 
o Report unintended Overexposure (&gt; 5m/s2 or 400 point daily) to supervisor.  Supervisor to contact Regional EHS so that it can be entered into Gensuite and investigated throughtouly.</t>
    </r>
  </si>
  <si>
    <t>EQUIPMENT /MATERIAL / PPE REQUIRED</t>
  </si>
  <si>
    <t>Cut Resistant Gloves (Level C EN388:2016 or A3 Cut ANSI105:2016) Safety Glasses, Safety Boots,  Double Lanyard Safety Harness for all work at height.  PPE/RPE  as required by Chemical Risk Assessment(Sypol)/SDS (Safety Data Sheet) should be worn as instructed.  All rigging and lifting equipment should be certified and pre-use inspected.  Welding, Heat &amp; Cut Resistant Glove - Ejendals Tegera 134 Gauntlets (Level C EN388:2016 or A3 Cut ANSI105:2016), Cut Resistant Sleeve for full arm protection  - Skytec Kopter Sleeve (Level D (EN388:0216).  Risk based PPE, (Safety Goggles + Face Visor ), Safety Boots, , Ear Defenders/ear plugs (Double hearing protection, ie plugs and muffs, if sound level is &gt; 100dB), FFP3/EN149 Respirator Type FFP3 or  Dust 7 Particulate - JSP PowerCap Active IP for full time grinders, FR coveralls.  Fire Extinguisher and spark control blankets. Light/UV Shielding if working near welders.  Barriers to control access to the area if a sentry (fire attendant needed is not in place).  GFCI or RCD protection device for electric grinder.</t>
  </si>
  <si>
    <t>ASSESSED BY:</t>
  </si>
  <si>
    <t xml:space="preserve">SIGNATURE: Ross Conway </t>
  </si>
  <si>
    <t>PRINT NAME: Ross Conway</t>
  </si>
  <si>
    <t xml:space="preserve">DATE: </t>
  </si>
  <si>
    <t>REVIEWED &amp; APPROVED BY</t>
  </si>
  <si>
    <t>SIGNATURE: Jason Keller</t>
  </si>
  <si>
    <t xml:space="preserve">PRINT NAME: Jason Keller </t>
  </si>
  <si>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</si>
  <si>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</si>
  <si>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</si>
  <si>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</si>
  <si>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</si>
  <si>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</si>
  <si>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</si>
  <si>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</si>
  <si>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</si>
  <si>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</si>
  <si>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</si>
  <si>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</si>
  <si>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</si>
  <si>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Severe
(Level B)</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</si>
  <si>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</si>
  <si>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</si>
  <si>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</si>
  <si>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</si>
  <si>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</si>
  <si>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</si>
  <si>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</si>
  <si>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</si>
  <si>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</si>
  <si>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</si>
  <si>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</si>
  <si>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</si>
  <si>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</si>
  <si>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</si>
  <si>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</si>
  <si>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</si>
  <si>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</si>
  <si>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</si>
  <si>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</si>
  <si>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</si>
  <si>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</si>
  <si>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</si>
  <si>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</si>
  <si>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</si>
  <si>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</si>
  <si>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</si>
  <si>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</si>
  <si>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</si>
  <si>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</si>
  <si>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</si>
  <si>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</si>
  <si>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</si>
  <si>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</si>
  <si>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</si>
  <si>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</si>
  <si>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</si>
  <si>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</si>
  <si>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</si>
  <si>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</si>
  <si>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</si>
  <si>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</si>
  <si>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</si>
  <si>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</si>
  <si>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</si>
  <si>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</si>
  <si>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</si>
  <si>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</si>
  <si>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</si>
  <si>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</si>
  <si>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</si>
  <si>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</si>
  <si>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</si>
  <si>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</si>
  <si>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</si>
  <si>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</si>
  <si>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</si>
  <si>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Confined Space</t>
  </si>
  <si>
    <t>Confined Space Entry Permit (P&amp;S Plan Tab U) must be used to control risk.  Attendants, gas checks, rescue planning and authorized entrants must be utilized to support entry.</t>
  </si>
  <si>
    <t>Chemicals</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</si>
  <si>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</si>
  <si>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</si>
  <si>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</si>
  <si>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</si>
  <si>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</si>
  <si>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</si>
  <si>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</si>
  <si>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</si>
  <si>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</si>
  <si>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</si>
  <si>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</si>
  <si>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</si>
  <si>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</si>
  <si>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</si>
  <si>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</si>
  <si>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</si>
  <si>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</si>
  <si>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</si>
  <si>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</si>
  <si>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</si>
  <si>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</si>
  <si>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</si>
  <si>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</si>
  <si>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</si>
  <si>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</si>
  <si>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</si>
  <si>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</si>
  <si>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</si>
  <si>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</si>
  <si>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</si>
  <si>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</si>
  <si>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</si>
  <si>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</si>
  <si>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</si>
  <si>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</si>
  <si>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</si>
  <si>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</si>
  <si>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</si>
  <si>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</si>
  <si>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</si>
  <si>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</si>
  <si>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</si>
  <si>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</si>
  <si>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</si>
  <si>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</si>
  <si>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</si>
  <si>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</si>
  <si>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</si>
  <si>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</si>
  <si>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</si>
  <si>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</si>
  <si>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</si>
  <si>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</si>
  <si>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</si>
  <si>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</si>
  <si>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</si>
  <si>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</si>
  <si>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</si>
  <si>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</si>
  <si>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</si>
  <si>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</si>
  <si>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</si>
  <si>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</si>
  <si>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</si>
  <si>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</si>
  <si>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</si>
  <si>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</si>
  <si>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</si>
  <si>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</si>
  <si>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</si>
  <si>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</si>
  <si>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</si>
  <si>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</si>
  <si>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</si>
  <si>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</si>
  <si>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</si>
  <si>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</si>
  <si>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</si>
  <si>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</si>
  <si>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</si>
  <si>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</si>
  <si>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</si>
  <si>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</si>
  <si>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</si>
  <si>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</si>
  <si>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</si>
  <si>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</si>
  <si>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Weather</t>
  </si>
  <si>
    <t>POWRA (P&amp;S Plan Tab S) should be used to mitigate risk from adverse weather conditions</t>
  </si>
  <si>
    <t>Where a secure certified (e.g. Scaff tag) elevated work platform cannot be put in place then a safety harness with 100% tie-off to a secure structure must be used.</t>
  </si>
  <si>
    <t>Defenses</t>
  </si>
  <si>
    <t>Alarm</t>
  </si>
  <si>
    <t>Alternate Work Methods</t>
  </si>
  <si>
    <t>Approach/Restriction Boundaries</t>
  </si>
  <si>
    <t>Automate/Eliminate</t>
  </si>
  <si>
    <t>Barrier/Shielding</t>
  </si>
  <si>
    <t>Business Continuity Plan</t>
  </si>
  <si>
    <t>Certified Equipment</t>
  </si>
  <si>
    <t xml:space="preserve">Chemical Approval Process </t>
  </si>
  <si>
    <t>Chemical Management Program</t>
  </si>
  <si>
    <t xml:space="preserve">Chemical Risk Assessment </t>
  </si>
  <si>
    <t xml:space="preserve">Chemical Storage </t>
  </si>
  <si>
    <t>Communication</t>
  </si>
  <si>
    <t>Concern Report</t>
  </si>
  <si>
    <t>Containment Bunds</t>
  </si>
  <si>
    <t>Cooldown/Rest Area</t>
  </si>
  <si>
    <t xml:space="preserve">Correct Labelling </t>
  </si>
  <si>
    <t>Correct Tooling</t>
  </si>
  <si>
    <t>Dead Man Switch</t>
  </si>
  <si>
    <t>Designated Storage/Laydown</t>
  </si>
  <si>
    <t>Double Hearing Protection (Muffs + Plugs)</t>
  </si>
  <si>
    <t>Ear Defenders</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</si>
  <si>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</si>
  <si>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</si>
  <si>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</si>
  <si>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</si>
  <si>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</si>
  <si>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</si>
  <si>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</si>
  <si>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</si>
  <si>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</si>
  <si>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</si>
  <si>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</si>
  <si>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</si>
  <si>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</si>
  <si>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Fitness for Duty</t>
  </si>
  <si>
    <t>Gas Detectors</t>
  </si>
  <si>
    <t>Guarding</t>
  </si>
  <si>
    <t>Health Surveillance</t>
  </si>
  <si>
    <t xml:space="preserve">Health Surveillance - Skin Surveillance </t>
  </si>
  <si>
    <t>Hearing Protection</t>
  </si>
  <si>
    <t xml:space="preserve">Housekeeping - Chemicals </t>
  </si>
  <si>
    <t xml:space="preserve">Housekeeping Program </t>
  </si>
  <si>
    <t>Hydration Program</t>
  </si>
  <si>
    <t>Insulated Tools</t>
  </si>
  <si>
    <t>Interlock(s)</t>
  </si>
  <si>
    <t>Job Rotation</t>
  </si>
  <si>
    <t>Journey Management</t>
  </si>
  <si>
    <t>Laydown Planning</t>
  </si>
  <si>
    <t>LEV</t>
  </si>
  <si>
    <t>Life Vest</t>
  </si>
  <si>
    <t>Lift Plan</t>
  </si>
  <si>
    <t>Lifting Aid</t>
  </si>
  <si>
    <t>Lighting</t>
  </si>
  <si>
    <t>LOTO</t>
  </si>
  <si>
    <t>Low Vibration Purchasing Policy</t>
  </si>
  <si>
    <t>Low Vibration Tool</t>
  </si>
  <si>
    <t>Maintenance</t>
  </si>
  <si>
    <t>Management of Change</t>
  </si>
  <si>
    <t>Manual Handling Technique</t>
  </si>
  <si>
    <t xml:space="preserve">Noise Assessment </t>
  </si>
  <si>
    <t xml:space="preserve">Noise Dampening Material </t>
  </si>
  <si>
    <t>Noise Refuge / Booth</t>
  </si>
  <si>
    <t>Oil Separators</t>
  </si>
  <si>
    <t xml:space="preserve">Padding (Edge &amp; Floor) </t>
  </si>
  <si>
    <t>Peer checking</t>
  </si>
  <si>
    <t>Permits</t>
  </si>
  <si>
    <t>Personal Vibration Logging (e.g. Booklets)</t>
  </si>
  <si>
    <t>Physical Fitness Program</t>
  </si>
  <si>
    <t>POWGA  (Grinding)</t>
  </si>
  <si>
    <t>POWLA (Lifting)</t>
  </si>
  <si>
    <t>POWRA</t>
  </si>
  <si>
    <t>PPE</t>
  </si>
  <si>
    <t>PPE Gloves</t>
  </si>
  <si>
    <t>Pre-use inspection</t>
  </si>
  <si>
    <t>Preventative Maintenance</t>
  </si>
  <si>
    <t>Qualified Third Party</t>
  </si>
  <si>
    <t>Reduce Weight (Split Load/divide)</t>
  </si>
  <si>
    <t>Rest &amp; Recovery</t>
  </si>
  <si>
    <t>Risk Assessment</t>
  </si>
  <si>
    <t xml:space="preserve">Risk Assessment Review </t>
  </si>
  <si>
    <t>Robot/Drone</t>
  </si>
  <si>
    <t>RPE-Respirator</t>
  </si>
  <si>
    <t>Safety Relief Valve</t>
  </si>
  <si>
    <t>Safety Signs</t>
  </si>
  <si>
    <t>SDS (Safety Data Sheet)</t>
  </si>
  <si>
    <t>Security Plan</t>
  </si>
  <si>
    <t>Sentry (attendant)</t>
  </si>
  <si>
    <t>Sharp Edge Padding</t>
  </si>
  <si>
    <t>Spill Prevention Kits</t>
  </si>
  <si>
    <t>Stop Work</t>
  </si>
  <si>
    <t>Stretching</t>
  </si>
  <si>
    <t>Substitution</t>
  </si>
  <si>
    <t>Supervisory Oversight</t>
  </si>
  <si>
    <t>Time Limitation/Freq Breaks</t>
  </si>
  <si>
    <t>Tool Bag/Belt/Holder</t>
  </si>
  <si>
    <t>Tool Tagging</t>
  </si>
  <si>
    <t>Training/Competency</t>
  </si>
  <si>
    <t>Vaccination</t>
  </si>
  <si>
    <t>Ventilation / LEV (Local Exhaust Extraction)</t>
  </si>
  <si>
    <t>Vibration Management</t>
  </si>
  <si>
    <t>Waste Management Plan</t>
  </si>
  <si>
    <t>Wearable sensor</t>
  </si>
  <si>
    <t>Wind Speed Monitor</t>
  </si>
  <si>
    <t>Work Instruction</t>
  </si>
  <si>
    <t xml:space="preserve">Work Schedules </t>
  </si>
  <si>
    <t xml:space="preserve">#ADD New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</si>
</sst>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34">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sz val="11"/>
      <color theme="0"/>
      <name val="Calibri"/>
      <family val="2"/>
      <scheme val="minor"/>
    </font>
    <font>
      <sz val="11"/>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10"/>
      <color theme="1"/>
      <name val="Montserrat SemiBold"/>
    </font>
    <font>
      <sz val="12"/>
      <color theme="1"/>
      <name val="Montserrat SemiBold"/>
    </font>
    <font>
      <sz val="8"/>
      <color theme="1"/>
      <name val="Montserrat SemiBold"/>
    </font>
    <font>
      <sz val="7"/>
      <color theme="1"/>
      <name val="Montserrat SemiBold"/>
    </font>
    <font>
      <sz val="7"/>
      <color theme="0"/>
      <name val="Montserrat"/>
    </font>
    <font>
      <sz val="7"/>
      <color theme="1"/>
      <name val="Montserrat"/>
    </font>
    <font>
      <sz val="6"/>
      <color theme="1"/>
      <name val="Montserrat"/>
    </font>
    <font>
      <sz val="6"/>
      <color theme="0"/>
      <name val="Montserrat"/>
    </font>
    <font>
      <sz val="6"/>
      <color theme="1"/>
      <name val="Montserrat SemiBold"/>
    </font>
    <font>
      <sz val="11"/>
      <color theme="1"/>
      <name val="Montserrat SemiBold"/>
    </font>
    <font>
      <sz val="7"/>
      <color theme="0"/>
      <name val="Montserrat SemiBold"/>
    </font>
    <font>
      <b/>
      <sz val="7"/>
      <color theme="1"/>
      <name val="Montserrat SemiBold"/>
    </font>
    <font>
      <sz val="10"/>
      <name val="Montserrat"/>
    </font>
    <font>
      <sz val="10"/>
      <color theme="1"/>
      <name val="Montserrat"/>
    </font>
    <font>
      <b/>
      <sz val="10"/>
      <color theme="1"/>
      <name val="Montserrat"/>
    </font>
    <font>
      <b/>
      <sz val="7"/>
      <color theme="1"/>
      <name val="Montserrat"/>
    </font>
    <font>
      <b/>
      <sz val="7"/>
      <color theme="9"/>
      <name val="Montserrat"/>
    </font>
    <font>
      <i/>
      <sz val="7"/>
      <color theme="1"/>
      <name val="Montserrat"/>
    </font>
  </fonts>
  <fills count="13">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s>
  <borders count="6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6">
    <xf numFmtId="0" fontId="0" fillId="0" borderId="0"/>
    <xf numFmtId="0" fontId="3" fillId="0" borderId="0"/>
    <xf numFmtId="0" fontId="3" fillId="0" borderId="0"/>
    <xf numFmtId="0" fontId="10" fillId="0" borderId="0"/>
    <xf numFmtId="0" fontId="3" fillId="0" borderId="0"/>
    <xf numFmtId="0" fontId="3" fillId="0" borderId="0"/>
  </cellStyleXfs>
  <cellXfs count="266">
    <xf numFmtId="0" fontId="0" fillId="0" borderId="0" xfId="0"/>
    <xf numFmtId="0" fontId="3" fillId="0" borderId="0" xfId="1"/>
    <xf numFmtId="0" fontId="3" fillId="3" borderId="0" xfId="1" applyFill="1"/>
    <xf numFmtId="0" fontId="3" fillId="0" borderId="0" xfId="2"/>
    <xf numFmtId="0" fontId="3" fillId="3" borderId="0" xfId="2" applyFill="1"/>
    <xf numFmtId="0" fontId="5"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39" xfId="2" applyNumberFormat="1" applyBorder="1" applyAlignment="1">
      <alignment horizontal="center"/>
    </xf>
    <xf numFmtId="0" fontId="3" fillId="0" borderId="38" xfId="2" applyBorder="1" applyAlignment="1">
      <alignment horizontal="center"/>
    </xf>
    <xf numFmtId="1" fontId="3" fillId="0" borderId="42" xfId="2" applyNumberFormat="1" applyBorder="1" applyAlignment="1">
      <alignment horizontal="center"/>
    </xf>
    <xf numFmtId="1" fontId="3" fillId="0" borderId="43" xfId="2" applyNumberFormat="1" applyBorder="1" applyAlignment="1">
      <alignment horizontal="center"/>
    </xf>
    <xf numFmtId="0" fontId="3" fillId="0" borderId="44" xfId="2" applyBorder="1"/>
    <xf numFmtId="0" fontId="3" fillId="0" borderId="20" xfId="2" applyBorder="1"/>
    <xf numFmtId="0" fontId="3" fillId="0" borderId="45" xfId="2" applyBorder="1"/>
    <xf numFmtId="0" fontId="3" fillId="0" borderId="1" xfId="2" applyBorder="1" applyAlignment="1">
      <alignment horizontal="center"/>
    </xf>
    <xf numFmtId="0" fontId="3" fillId="0" borderId="45"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7" fillId="10" borderId="5" xfId="1" applyFont="1" applyFill="1" applyBorder="1" applyAlignment="1">
      <alignment horizontal="center" vertical="center"/>
    </xf>
    <xf numFmtId="0" fontId="6" fillId="8" borderId="5" xfId="1" applyFont="1" applyFill="1" applyBorder="1" applyAlignment="1">
      <alignment horizontal="center" vertical="center" wrapText="1"/>
    </xf>
    <xf numFmtId="0" fontId="7" fillId="7" borderId="5" xfId="1" applyFont="1" applyFill="1" applyBorder="1" applyAlignment="1">
      <alignment horizontal="center" vertical="center"/>
    </xf>
    <xf numFmtId="0" fontId="2" fillId="0" borderId="5" xfId="1" applyFont="1" applyBorder="1" applyAlignment="1">
      <alignment horizontal="center" vertical="top" wrapText="1"/>
    </xf>
    <xf numFmtId="0" fontId="8" fillId="0" borderId="37" xfId="1" applyFont="1" applyBorder="1" applyAlignment="1">
      <alignment horizontal="center" vertical="center" wrapText="1"/>
    </xf>
    <xf numFmtId="0" fontId="7" fillId="8" borderId="5" xfId="1" applyFont="1" applyFill="1" applyBorder="1" applyAlignment="1">
      <alignment horizontal="center" vertical="center"/>
    </xf>
    <xf numFmtId="0" fontId="7" fillId="10" borderId="5"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10" fillId="0" borderId="0" xfId="3"/>
    <xf numFmtId="0" fontId="10" fillId="3" borderId="0" xfId="3" applyFill="1"/>
    <xf numFmtId="0" fontId="12" fillId="3" borderId="0" xfId="3" applyFont="1" applyFill="1" applyAlignment="1">
      <alignment vertical="top"/>
    </xf>
    <xf numFmtId="0" fontId="3" fillId="0" borderId="39" xfId="2" applyBorder="1"/>
    <xf numFmtId="0" fontId="3" fillId="0" borderId="50" xfId="2" applyBorder="1"/>
    <xf numFmtId="0" fontId="3" fillId="0" borderId="39" xfId="2" applyBorder="1" applyAlignment="1">
      <alignment vertical="center"/>
    </xf>
    <xf numFmtId="0" fontId="3" fillId="0" borderId="50" xfId="2" applyBorder="1" applyAlignment="1">
      <alignment vertical="center"/>
    </xf>
    <xf numFmtId="0" fontId="4" fillId="9" borderId="39" xfId="2" applyFont="1" applyFill="1" applyBorder="1"/>
    <xf numFmtId="0" fontId="1" fillId="3" borderId="0" xfId="2" applyFont="1" applyFill="1"/>
    <xf numFmtId="0" fontId="22" fillId="0" borderId="29" xfId="0" applyFont="1" applyBorder="1" applyAlignment="1">
      <alignment horizontal="center" vertical="center"/>
    </xf>
    <xf numFmtId="0" fontId="22" fillId="0" borderId="18" xfId="0" applyFont="1" applyBorder="1" applyAlignment="1">
      <alignment horizontal="center" vertical="center"/>
    </xf>
    <xf numFmtId="0" fontId="22" fillId="2" borderId="31" xfId="0" applyFont="1" applyFill="1" applyBorder="1" applyAlignment="1">
      <alignment vertical="center" textRotation="90"/>
    </xf>
    <xf numFmtId="0" fontId="23" fillId="4" borderId="11" xfId="0" applyFont="1" applyFill="1" applyBorder="1" applyAlignment="1">
      <alignment horizontal="center" vertical="center"/>
    </xf>
    <xf numFmtId="0" fontId="23" fillId="6" borderId="12" xfId="0" applyFont="1" applyFill="1" applyBorder="1" applyAlignment="1">
      <alignment horizontal="center" vertical="center"/>
    </xf>
    <xf numFmtId="0" fontId="23" fillId="6" borderId="30" xfId="0" applyFont="1" applyFill="1" applyBorder="1" applyAlignment="1">
      <alignment horizontal="center" vertical="center"/>
    </xf>
    <xf numFmtId="0" fontId="23" fillId="4" borderId="28" xfId="0" applyFont="1" applyFill="1" applyBorder="1" applyAlignment="1">
      <alignment horizontal="center" vertical="center"/>
    </xf>
    <xf numFmtId="0" fontId="23" fillId="4" borderId="5" xfId="0" applyFont="1" applyFill="1" applyBorder="1" applyAlignment="1">
      <alignment horizontal="center" vertical="center"/>
    </xf>
    <xf numFmtId="0" fontId="23" fillId="6" borderId="5" xfId="0" applyFont="1" applyFill="1" applyBorder="1" applyAlignment="1">
      <alignment horizontal="center" vertical="center"/>
    </xf>
    <xf numFmtId="0" fontId="23" fillId="6" borderId="6" xfId="0" applyFont="1" applyFill="1" applyBorder="1" applyAlignment="1">
      <alignment horizontal="center" vertical="center"/>
    </xf>
    <xf numFmtId="0" fontId="23" fillId="5" borderId="28" xfId="0" applyFont="1" applyFill="1" applyBorder="1" applyAlignment="1">
      <alignment horizontal="center" vertical="center"/>
    </xf>
    <xf numFmtId="0" fontId="23" fillId="5" borderId="5" xfId="0" applyFont="1" applyFill="1" applyBorder="1" applyAlignment="1">
      <alignment horizontal="center" vertical="center"/>
    </xf>
    <xf numFmtId="0" fontId="23" fillId="5" borderId="14" xfId="0" applyFont="1" applyFill="1" applyBorder="1" applyAlignment="1">
      <alignment horizontal="center" vertical="center"/>
    </xf>
    <xf numFmtId="0" fontId="23" fillId="5" borderId="15" xfId="0" applyFont="1" applyFill="1" applyBorder="1" applyAlignment="1">
      <alignment horizontal="center" vertical="center"/>
    </xf>
    <xf numFmtId="0" fontId="23" fillId="4" borderId="15" xfId="0" applyFont="1" applyFill="1" applyBorder="1" applyAlignment="1">
      <alignment horizontal="center" vertical="center"/>
    </xf>
    <xf numFmtId="0" fontId="23" fillId="6" borderId="16" xfId="0" applyFont="1" applyFill="1" applyBorder="1" applyAlignment="1">
      <alignment horizontal="center" vertical="center"/>
    </xf>
    <xf numFmtId="0" fontId="24" fillId="0" borderId="28" xfId="0" applyFont="1" applyBorder="1" applyAlignment="1">
      <alignment horizontal="center" vertical="center"/>
    </xf>
    <xf numFmtId="0" fontId="24" fillId="0" borderId="14" xfId="0" applyFont="1" applyBorder="1" applyAlignment="1">
      <alignment horizontal="center" vertical="center"/>
    </xf>
    <xf numFmtId="0" fontId="20" fillId="0" borderId="10" xfId="0" applyFont="1" applyBorder="1" applyAlignment="1">
      <alignment horizontal="center" vertical="center" wrapText="1"/>
    </xf>
    <xf numFmtId="0" fontId="21" fillId="0" borderId="28" xfId="0" applyFont="1" applyBorder="1" applyAlignment="1">
      <alignment horizontal="center" vertical="center" wrapText="1"/>
    </xf>
    <xf numFmtId="0" fontId="21" fillId="0" borderId="5" xfId="0" applyFont="1" applyBorder="1" applyAlignment="1">
      <alignment horizontal="center" vertical="center" wrapText="1"/>
    </xf>
    <xf numFmtId="0" fontId="14" fillId="0" borderId="28" xfId="0" applyFont="1" applyBorder="1" applyAlignment="1">
      <alignment horizontal="center" vertical="center" wrapText="1"/>
    </xf>
    <xf numFmtId="0" fontId="0" fillId="3" borderId="0" xfId="0" applyFill="1"/>
    <xf numFmtId="0" fontId="24" fillId="3" borderId="0" xfId="0" applyFont="1" applyFill="1" applyAlignment="1">
      <alignment horizontal="center" vertical="center"/>
    </xf>
    <xf numFmtId="0" fontId="24" fillId="3" borderId="27" xfId="0" applyFont="1" applyFill="1" applyBorder="1" applyAlignment="1">
      <alignment horizontal="center" vertical="center"/>
    </xf>
    <xf numFmtId="0" fontId="0" fillId="3" borderId="32" xfId="0" applyFill="1" applyBorder="1"/>
    <xf numFmtId="0" fontId="21" fillId="0" borderId="20" xfId="0" applyFont="1" applyBorder="1" applyAlignment="1">
      <alignment horizontal="left"/>
    </xf>
    <xf numFmtId="0" fontId="21" fillId="0" borderId="3" xfId="0" applyFont="1" applyBorder="1" applyAlignment="1">
      <alignment horizontal="left"/>
    </xf>
    <xf numFmtId="0" fontId="18" fillId="2" borderId="16" xfId="0" applyFont="1" applyFill="1" applyBorder="1" applyAlignment="1">
      <alignment horizontal="center" vertical="center"/>
    </xf>
    <xf numFmtId="0" fontId="18" fillId="2" borderId="15" xfId="0" applyFont="1" applyFill="1" applyBorder="1" applyAlignment="1">
      <alignment horizontal="center" vertical="center"/>
    </xf>
    <xf numFmtId="0" fontId="21" fillId="0" borderId="11" xfId="0" applyFont="1" applyBorder="1" applyAlignment="1">
      <alignment horizontal="center" vertical="center" wrapText="1"/>
    </xf>
    <xf numFmtId="0" fontId="21" fillId="0" borderId="12"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30" xfId="0" applyFont="1" applyBorder="1" applyAlignment="1">
      <alignment horizontal="center" vertical="center" wrapText="1"/>
    </xf>
    <xf numFmtId="0" fontId="20" fillId="0" borderId="36"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65" xfId="0" applyFont="1" applyBorder="1" applyAlignment="1">
      <alignment horizontal="center" vertical="center" wrapText="1"/>
    </xf>
    <xf numFmtId="0" fontId="21" fillId="0" borderId="56" xfId="0" applyFont="1" applyBorder="1" applyAlignment="1">
      <alignment horizontal="left" vertical="center" wrapText="1"/>
    </xf>
    <xf numFmtId="0" fontId="18" fillId="2" borderId="38" xfId="0" applyFont="1" applyFill="1" applyBorder="1" applyAlignment="1">
      <alignment horizontal="center" vertical="center"/>
    </xf>
    <xf numFmtId="0" fontId="24" fillId="0" borderId="11" xfId="0" applyFont="1" applyBorder="1" applyAlignment="1">
      <alignment horizontal="center" vertical="center"/>
    </xf>
    <xf numFmtId="0" fontId="22" fillId="0" borderId="13" xfId="0" applyFont="1" applyBorder="1" applyAlignment="1">
      <alignment horizontal="center" vertical="center"/>
    </xf>
    <xf numFmtId="0" fontId="22" fillId="0" borderId="11" xfId="0" applyFont="1" applyBorder="1" applyAlignment="1">
      <alignment horizontal="center" vertical="center"/>
    </xf>
    <xf numFmtId="0" fontId="22" fillId="0" borderId="28" xfId="0" applyFont="1" applyBorder="1" applyAlignment="1">
      <alignment horizontal="center" vertical="center"/>
    </xf>
    <xf numFmtId="0" fontId="22" fillId="0" borderId="14" xfId="0" applyFont="1" applyBorder="1" applyAlignment="1">
      <alignment horizontal="center" vertical="center"/>
    </xf>
    <xf numFmtId="0" fontId="21" fillId="0" borderId="12" xfId="0" applyFont="1" applyBorder="1" applyAlignment="1">
      <alignment horizontal="left" vertical="center" wrapText="1"/>
    </xf>
    <xf numFmtId="0" fontId="28" fillId="0" borderId="5" xfId="3" applyFont="1" applyBorder="1"/>
    <xf numFmtId="0" fontId="28" fillId="0" borderId="0" xfId="3" applyFont="1" applyAlignment="1">
      <alignment horizontal="center"/>
    </xf>
    <xf numFmtId="0" fontId="28" fillId="0" borderId="0" xfId="3" applyFont="1"/>
    <xf numFmtId="0" fontId="28" fillId="11" borderId="5" xfId="3" applyFont="1" applyFill="1" applyBorder="1"/>
    <xf numFmtId="0" fontId="28" fillId="0" borderId="5" xfId="4" applyFont="1" applyBorder="1"/>
    <xf numFmtId="0" fontId="29" fillId="0" borderId="5" xfId="5" applyFont="1" applyBorder="1"/>
    <xf numFmtId="0" fontId="29" fillId="0" borderId="5" xfId="5" applyFont="1" applyBorder="1" applyAlignment="1">
      <alignment vertical="center" wrapText="1"/>
    </xf>
    <xf numFmtId="0" fontId="29" fillId="0" borderId="0" xfId="4" applyFont="1"/>
    <xf numFmtId="0" fontId="30" fillId="0" borderId="0" xfId="4" applyFont="1"/>
    <xf numFmtId="0" fontId="29" fillId="0" borderId="0" xfId="4" applyFont="1" applyAlignment="1">
      <alignment vertical="center" wrapText="1"/>
    </xf>
    <xf numFmtId="0" fontId="29" fillId="0" borderId="5" xfId="4" applyFont="1" applyBorder="1"/>
    <xf numFmtId="0" fontId="29" fillId="11" borderId="5" xfId="5" applyFont="1" applyFill="1" applyBorder="1"/>
    <xf numFmtId="0" fontId="21" fillId="0" borderId="28" xfId="0" applyFont="1" applyBorder="1" applyAlignment="1">
      <alignment horizontal="left" vertical="center" wrapText="1"/>
    </xf>
    <xf numFmtId="0" fontId="20" fillId="0" borderId="10" xfId="0" applyFont="1" applyBorder="1" applyAlignment="1">
      <alignment horizontal="left" vertical="center" wrapText="1"/>
    </xf>
    <xf numFmtId="0" fontId="20" fillId="0" borderId="36" xfId="0" applyFont="1" applyBorder="1" applyAlignment="1">
      <alignment horizontal="left" vertical="center" wrapText="1"/>
    </xf>
    <xf numFmtId="0" fontId="21" fillId="0" borderId="11" xfId="0" applyFont="1" applyBorder="1" applyAlignment="1">
      <alignment horizontal="left" vertical="center" wrapText="1"/>
    </xf>
    <xf numFmtId="0" fontId="0" fillId="3" borderId="0" xfId="0" applyFill="1" applyAlignment="1">
      <alignment horizontal="left"/>
    </xf>
    <xf numFmtId="0" fontId="0" fillId="0" borderId="0" xfId="0" applyAlignment="1">
      <alignment horizontal="left"/>
    </xf>
    <xf numFmtId="0" fontId="31" fillId="0" borderId="38" xfId="0" applyFont="1" applyBorder="1" applyAlignment="1">
      <alignment horizontal="left" vertical="center" wrapText="1"/>
    </xf>
    <xf numFmtId="0" fontId="31" fillId="0" borderId="43" xfId="0" applyFont="1" applyBorder="1" applyAlignment="1">
      <alignment horizontal="left" vertical="center" wrapText="1"/>
    </xf>
    <xf numFmtId="0" fontId="31" fillId="0" borderId="56" xfId="0" applyFont="1" applyBorder="1" applyAlignment="1">
      <alignment horizontal="left" vertical="center" wrapText="1"/>
    </xf>
    <xf numFmtId="0" fontId="19" fillId="2" borderId="20" xfId="0" applyFont="1" applyFill="1" applyBorder="1" applyAlignment="1">
      <alignment horizontal="left"/>
    </xf>
    <xf numFmtId="0" fontId="19" fillId="2" borderId="21" xfId="0" applyFont="1" applyFill="1" applyBorder="1" applyAlignment="1">
      <alignment horizontal="left"/>
    </xf>
    <xf numFmtId="0" fontId="19" fillId="2" borderId="46" xfId="0" applyFont="1" applyFill="1" applyBorder="1" applyAlignment="1">
      <alignment horizontal="left"/>
    </xf>
    <xf numFmtId="0" fontId="21" fillId="3" borderId="6" xfId="0" applyFont="1" applyFill="1" applyBorder="1" applyAlignment="1">
      <alignment horizontal="left" vertical="center" wrapText="1"/>
    </xf>
    <xf numFmtId="0" fontId="21" fillId="3" borderId="8" xfId="0" applyFont="1" applyFill="1" applyBorder="1" applyAlignment="1">
      <alignment horizontal="left" vertical="center" wrapText="1"/>
    </xf>
    <xf numFmtId="0" fontId="19" fillId="2" borderId="48" xfId="0" applyFont="1" applyFill="1" applyBorder="1" applyAlignment="1">
      <alignment horizontal="left"/>
    </xf>
    <xf numFmtId="0" fontId="19" fillId="2" borderId="47" xfId="0" applyFont="1" applyFill="1" applyBorder="1" applyAlignment="1">
      <alignment horizontal="left"/>
    </xf>
    <xf numFmtId="0" fontId="19" fillId="2" borderId="17" xfId="0" applyFont="1" applyFill="1" applyBorder="1" applyAlignment="1">
      <alignment horizontal="left"/>
    </xf>
    <xf numFmtId="0" fontId="18" fillId="2" borderId="61" xfId="0" applyFont="1" applyFill="1" applyBorder="1" applyAlignment="1">
      <alignment horizontal="left" vertical="center"/>
    </xf>
    <xf numFmtId="0" fontId="18" fillId="2" borderId="60" xfId="0" applyFont="1" applyFill="1" applyBorder="1" applyAlignment="1">
      <alignment horizontal="left" vertical="center"/>
    </xf>
    <xf numFmtId="0" fontId="18" fillId="2" borderId="62" xfId="0" applyFont="1" applyFill="1" applyBorder="1" applyAlignment="1">
      <alignment horizontal="left" vertical="center"/>
    </xf>
    <xf numFmtId="0" fontId="22" fillId="0" borderId="23" xfId="0" applyFont="1" applyBorder="1" applyAlignment="1">
      <alignment horizontal="left" vertical="center" wrapText="1"/>
    </xf>
    <xf numFmtId="0" fontId="22" fillId="0" borderId="9" xfId="0" applyFont="1" applyBorder="1" applyAlignment="1">
      <alignment horizontal="left" vertical="center" wrapText="1"/>
    </xf>
    <xf numFmtId="0" fontId="22" fillId="0" borderId="24" xfId="0" applyFont="1" applyBorder="1" applyAlignment="1">
      <alignment horizontal="left" vertical="center" wrapText="1"/>
    </xf>
    <xf numFmtId="0" fontId="22" fillId="0" borderId="25" xfId="0" applyFont="1" applyBorder="1" applyAlignment="1">
      <alignment horizontal="left" vertical="center" wrapText="1"/>
    </xf>
    <xf numFmtId="0" fontId="22" fillId="0" borderId="0" xfId="0" applyFont="1" applyAlignment="1">
      <alignment horizontal="left" vertical="center" wrapText="1"/>
    </xf>
    <xf numFmtId="0" fontId="22" fillId="0" borderId="26" xfId="0" applyFont="1" applyBorder="1" applyAlignment="1">
      <alignment horizontal="left" vertical="center" wrapText="1"/>
    </xf>
    <xf numFmtId="0" fontId="21" fillId="0" borderId="5" xfId="0" applyFont="1" applyBorder="1" applyAlignment="1">
      <alignment horizontal="left" vertical="center" wrapText="1"/>
    </xf>
    <xf numFmtId="0" fontId="21" fillId="3" borderId="5" xfId="0" applyFont="1" applyFill="1" applyBorder="1" applyAlignment="1">
      <alignment horizontal="left" vertical="center" wrapText="1"/>
    </xf>
    <xf numFmtId="0" fontId="31" fillId="3" borderId="5" xfId="0" applyFont="1" applyFill="1" applyBorder="1" applyAlignment="1">
      <alignment horizontal="left" vertical="center" wrapText="1"/>
    </xf>
    <xf numFmtId="0" fontId="21" fillId="0" borderId="30" xfId="0" applyFont="1" applyBorder="1" applyAlignment="1">
      <alignment horizontal="left"/>
    </xf>
    <xf numFmtId="0" fontId="21" fillId="0" borderId="21" xfId="0" applyFont="1" applyBorder="1" applyAlignment="1">
      <alignment horizontal="left"/>
    </xf>
    <xf numFmtId="0" fontId="21" fillId="0" borderId="22" xfId="0" applyFont="1" applyBorder="1" applyAlignment="1">
      <alignment horizontal="left"/>
    </xf>
    <xf numFmtId="0" fontId="21" fillId="0" borderId="16" xfId="0" applyFont="1" applyBorder="1" applyAlignment="1">
      <alignment horizontal="left"/>
    </xf>
    <xf numFmtId="0" fontId="21" fillId="0" borderId="47" xfId="0" applyFont="1" applyBorder="1" applyAlignment="1">
      <alignment horizontal="left"/>
    </xf>
    <xf numFmtId="0" fontId="21" fillId="0" borderId="55" xfId="0" applyFont="1" applyBorder="1" applyAlignment="1">
      <alignment horizontal="left"/>
    </xf>
    <xf numFmtId="0" fontId="31" fillId="0" borderId="64" xfId="0" applyFont="1" applyBorder="1" applyAlignment="1">
      <alignment horizontal="left" vertical="center" wrapText="1"/>
    </xf>
    <xf numFmtId="0" fontId="21" fillId="0" borderId="7" xfId="0" applyFont="1" applyBorder="1" applyAlignment="1">
      <alignment horizontal="left" vertical="center" wrapText="1"/>
    </xf>
    <xf numFmtId="0" fontId="21" fillId="0" borderId="49" xfId="0" applyFont="1" applyBorder="1" applyAlignment="1">
      <alignment horizontal="left" vertical="center" wrapText="1"/>
    </xf>
    <xf numFmtId="0" fontId="21" fillId="0" borderId="64" xfId="0" applyFont="1" applyBorder="1" applyAlignment="1">
      <alignment horizontal="left" vertical="center" wrapText="1"/>
    </xf>
    <xf numFmtId="0" fontId="21" fillId="0" borderId="64" xfId="0" applyFont="1" applyBorder="1" applyAlignment="1">
      <alignment horizontal="center" vertical="center" wrapText="1"/>
    </xf>
    <xf numFmtId="0" fontId="21" fillId="0" borderId="7" xfId="0" applyFont="1" applyBorder="1" applyAlignment="1">
      <alignment horizontal="center" vertical="center" wrapText="1"/>
    </xf>
    <xf numFmtId="0" fontId="21" fillId="0" borderId="49" xfId="0" applyFont="1" applyBorder="1" applyAlignment="1">
      <alignment horizontal="center" vertical="center" wrapText="1"/>
    </xf>
    <xf numFmtId="0" fontId="21" fillId="0" borderId="30" xfId="0" applyFont="1" applyBorder="1" applyAlignment="1">
      <alignment horizontal="left" vertical="center" wrapText="1"/>
    </xf>
    <xf numFmtId="0" fontId="21" fillId="0" borderId="46" xfId="0" applyFont="1" applyBorder="1" applyAlignment="1">
      <alignment horizontal="left" vertical="center" wrapText="1"/>
    </xf>
    <xf numFmtId="0" fontId="0" fillId="0" borderId="1" xfId="0" applyBorder="1" applyAlignment="1">
      <alignment horizontal="center"/>
    </xf>
    <xf numFmtId="0" fontId="0" fillId="0" borderId="31" xfId="0" applyBorder="1" applyAlignment="1">
      <alignment horizontal="center"/>
    </xf>
    <xf numFmtId="0" fontId="0" fillId="0" borderId="2" xfId="0" applyBorder="1" applyAlignment="1">
      <alignment horizontal="center"/>
    </xf>
    <xf numFmtId="0" fontId="0" fillId="0" borderId="25" xfId="0" applyBorder="1" applyAlignment="1">
      <alignment horizontal="center"/>
    </xf>
    <xf numFmtId="0" fontId="0" fillId="0" borderId="0" xfId="0" applyAlignment="1">
      <alignment horizontal="center"/>
    </xf>
    <xf numFmtId="0" fontId="0" fillId="0" borderId="26" xfId="0" applyBorder="1" applyAlignment="1">
      <alignment horizontal="center"/>
    </xf>
    <xf numFmtId="0" fontId="24" fillId="2" borderId="11" xfId="0" applyFont="1" applyFill="1" applyBorder="1" applyAlignment="1">
      <alignment horizontal="center" vertical="center"/>
    </xf>
    <xf numFmtId="0" fontId="24" fillId="2" borderId="12" xfId="0" applyFont="1" applyFill="1" applyBorder="1" applyAlignment="1">
      <alignment horizontal="center" vertical="center"/>
    </xf>
    <xf numFmtId="0" fontId="24" fillId="2" borderId="66" xfId="0" applyFont="1" applyFill="1" applyBorder="1" applyAlignment="1">
      <alignment horizontal="center" vertical="center"/>
    </xf>
    <xf numFmtId="0" fontId="24" fillId="2" borderId="19" xfId="0" applyFont="1" applyFill="1" applyBorder="1" applyAlignment="1">
      <alignment horizontal="center" vertical="center"/>
    </xf>
    <xf numFmtId="0" fontId="24" fillId="2" borderId="13" xfId="0" applyFont="1" applyFill="1" applyBorder="1" applyAlignment="1">
      <alignment horizontal="center" vertical="center"/>
    </xf>
    <xf numFmtId="0" fontId="24" fillId="2" borderId="67" xfId="0" applyFont="1" applyFill="1" applyBorder="1" applyAlignment="1">
      <alignment horizontal="center" vertical="center"/>
    </xf>
    <xf numFmtId="0" fontId="19" fillId="2" borderId="11" xfId="0" applyFont="1" applyFill="1" applyBorder="1" applyAlignment="1">
      <alignment horizontal="left" vertical="center"/>
    </xf>
    <xf numFmtId="0" fontId="19" fillId="2" borderId="12" xfId="0" applyFont="1" applyFill="1" applyBorder="1" applyAlignment="1">
      <alignment horizontal="left" vertical="center"/>
    </xf>
    <xf numFmtId="0" fontId="19" fillId="2" borderId="13" xfId="0" applyFont="1" applyFill="1" applyBorder="1" applyAlignment="1">
      <alignment horizontal="left" vertical="center"/>
    </xf>
    <xf numFmtId="0" fontId="15" fillId="3" borderId="1" xfId="0" applyFont="1" applyFill="1" applyBorder="1" applyAlignment="1">
      <alignment horizontal="center" vertical="top"/>
    </xf>
    <xf numFmtId="0" fontId="15" fillId="3" borderId="31" xfId="0" applyFont="1" applyFill="1" applyBorder="1" applyAlignment="1">
      <alignment horizontal="center" vertical="top"/>
    </xf>
    <xf numFmtId="0" fontId="15" fillId="3" borderId="2" xfId="0" applyFont="1" applyFill="1" applyBorder="1" applyAlignment="1">
      <alignment horizontal="center" vertical="top"/>
    </xf>
    <xf numFmtId="0" fontId="18" fillId="0" borderId="56" xfId="0" applyFont="1" applyBorder="1" applyAlignment="1">
      <alignment horizontal="center" vertical="center"/>
    </xf>
    <xf numFmtId="0" fontId="18" fillId="0" borderId="57" xfId="0" applyFont="1" applyBorder="1" applyAlignment="1">
      <alignment horizontal="center" vertical="center"/>
    </xf>
    <xf numFmtId="0" fontId="18" fillId="2" borderId="11" xfId="0" applyFont="1" applyFill="1" applyBorder="1" applyAlignment="1">
      <alignment horizontal="center" vertical="center"/>
    </xf>
    <xf numFmtId="0" fontId="18" fillId="2" borderId="12" xfId="0" applyFont="1" applyFill="1" applyBorder="1" applyAlignment="1">
      <alignment horizontal="center" vertical="center"/>
    </xf>
    <xf numFmtId="0" fontId="18" fillId="2" borderId="14" xfId="0" applyFont="1" applyFill="1" applyBorder="1" applyAlignment="1">
      <alignment horizontal="center" vertical="center"/>
    </xf>
    <xf numFmtId="0" fontId="18" fillId="2" borderId="15" xfId="0" applyFont="1" applyFill="1" applyBorder="1" applyAlignment="1">
      <alignment horizontal="center" vertical="center"/>
    </xf>
    <xf numFmtId="0" fontId="24" fillId="2" borderId="0" xfId="0" applyFont="1" applyFill="1" applyAlignment="1">
      <alignment horizontal="center" vertical="center" textRotation="90"/>
    </xf>
    <xf numFmtId="0" fontId="24" fillId="2" borderId="27" xfId="0" applyFont="1" applyFill="1" applyBorder="1" applyAlignment="1">
      <alignment horizontal="center" vertical="center" textRotation="90"/>
    </xf>
    <xf numFmtId="0" fontId="19" fillId="0" borderId="33" xfId="0" applyFont="1" applyBorder="1" applyAlignment="1">
      <alignment horizontal="center" vertical="center"/>
    </xf>
    <xf numFmtId="0" fontId="19" fillId="0" borderId="32" xfId="0" applyFont="1" applyBorder="1" applyAlignment="1">
      <alignment horizontal="center" vertical="center"/>
    </xf>
    <xf numFmtId="0" fontId="19" fillId="0" borderId="34" xfId="0" applyFont="1" applyBorder="1" applyAlignment="1">
      <alignment horizontal="center" vertical="center"/>
    </xf>
    <xf numFmtId="0" fontId="0" fillId="3" borderId="33" xfId="0" applyFill="1" applyBorder="1" applyAlignment="1">
      <alignment horizontal="center"/>
    </xf>
    <xf numFmtId="0" fontId="0" fillId="3" borderId="32" xfId="0" applyFill="1" applyBorder="1" applyAlignment="1">
      <alignment horizontal="center"/>
    </xf>
    <xf numFmtId="0" fontId="21" fillId="3" borderId="32" xfId="0" applyFont="1" applyFill="1" applyBorder="1" applyAlignment="1">
      <alignment horizontal="left"/>
    </xf>
    <xf numFmtId="0" fontId="21" fillId="3" borderId="34" xfId="0" applyFont="1" applyFill="1" applyBorder="1" applyAlignment="1">
      <alignment horizontal="left"/>
    </xf>
    <xf numFmtId="0" fontId="19" fillId="10" borderId="36" xfId="0" applyFont="1" applyFill="1" applyBorder="1" applyAlignment="1">
      <alignment horizontal="center" vertical="center"/>
    </xf>
    <xf numFmtId="0" fontId="19" fillId="10" borderId="62" xfId="0" applyFont="1" applyFill="1" applyBorder="1" applyAlignment="1">
      <alignment horizontal="center" vertical="center"/>
    </xf>
    <xf numFmtId="0" fontId="15" fillId="3" borderId="1" xfId="0" applyFont="1" applyFill="1" applyBorder="1" applyAlignment="1">
      <alignment horizontal="center" vertical="center" wrapText="1"/>
    </xf>
    <xf numFmtId="0" fontId="15" fillId="3" borderId="31" xfId="0" applyFont="1" applyFill="1" applyBorder="1" applyAlignment="1">
      <alignment horizontal="center" vertical="center" wrapText="1"/>
    </xf>
    <xf numFmtId="0" fontId="15" fillId="3" borderId="2" xfId="0" applyFont="1" applyFill="1" applyBorder="1" applyAlignment="1">
      <alignment horizontal="center" vertical="center" wrapText="1"/>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21" fillId="2" borderId="25" xfId="0" applyFont="1" applyFill="1" applyBorder="1" applyAlignment="1">
      <alignment horizontal="left"/>
    </xf>
    <xf numFmtId="0" fontId="21" fillId="2" borderId="0" xfId="0" applyFont="1" applyFill="1" applyAlignment="1">
      <alignment horizontal="left"/>
    </xf>
    <xf numFmtId="0" fontId="21" fillId="2" borderId="26" xfId="0" applyFont="1" applyFill="1" applyBorder="1" applyAlignment="1">
      <alignment horizontal="left"/>
    </xf>
    <xf numFmtId="0" fontId="15" fillId="3" borderId="52" xfId="0" applyFont="1" applyFill="1" applyBorder="1" applyAlignment="1">
      <alignment horizontal="center" vertical="center"/>
    </xf>
    <xf numFmtId="0" fontId="15" fillId="3" borderId="2" xfId="0" applyFont="1" applyFill="1" applyBorder="1" applyAlignment="1">
      <alignment horizontal="center" vertical="center"/>
    </xf>
    <xf numFmtId="0" fontId="21" fillId="3" borderId="54" xfId="0" applyFont="1" applyFill="1" applyBorder="1" applyAlignment="1">
      <alignment horizontal="center" vertical="center"/>
    </xf>
    <xf numFmtId="0" fontId="21" fillId="3" borderId="4" xfId="0" applyFont="1" applyFill="1" applyBorder="1" applyAlignment="1">
      <alignment horizontal="center" vertical="center"/>
    </xf>
    <xf numFmtId="0" fontId="19" fillId="10" borderId="61" xfId="0" applyFont="1" applyFill="1" applyBorder="1" applyAlignment="1">
      <alignment horizontal="left" vertical="center"/>
    </xf>
    <xf numFmtId="0" fontId="19" fillId="10" borderId="60" xfId="0" applyFont="1" applyFill="1" applyBorder="1" applyAlignment="1">
      <alignment horizontal="left" vertical="center"/>
    </xf>
    <xf numFmtId="0" fontId="19" fillId="10" borderId="35" xfId="0" applyFont="1" applyFill="1" applyBorder="1" applyAlignment="1">
      <alignment horizontal="left" vertical="center"/>
    </xf>
    <xf numFmtId="165" fontId="21" fillId="3" borderId="16" xfId="0" applyNumberFormat="1" applyFont="1" applyFill="1" applyBorder="1" applyAlignment="1">
      <alignment horizontal="center" vertical="center"/>
    </xf>
    <xf numFmtId="165" fontId="21" fillId="3" borderId="47" xfId="0" applyNumberFormat="1" applyFont="1" applyFill="1" applyBorder="1" applyAlignment="1">
      <alignment horizontal="center" vertical="center"/>
    </xf>
    <xf numFmtId="165" fontId="21" fillId="3" borderId="17" xfId="0" applyNumberFormat="1" applyFont="1" applyFill="1" applyBorder="1" applyAlignment="1">
      <alignment horizontal="center" vertical="center"/>
    </xf>
    <xf numFmtId="0" fontId="14" fillId="0" borderId="28" xfId="0" applyFont="1" applyBorder="1" applyAlignment="1">
      <alignment horizontal="left" vertical="center" wrapText="1"/>
    </xf>
    <xf numFmtId="0" fontId="14" fillId="0" borderId="5" xfId="0" applyFont="1" applyBorder="1" applyAlignment="1">
      <alignment horizontal="left" vertical="center" wrapText="1"/>
    </xf>
    <xf numFmtId="0" fontId="19" fillId="2" borderId="30" xfId="0" applyFont="1" applyFill="1" applyBorder="1" applyAlignment="1">
      <alignment horizontal="center" vertical="center"/>
    </xf>
    <xf numFmtId="0" fontId="19" fillId="2" borderId="21"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20" xfId="0" applyFont="1" applyFill="1" applyBorder="1" applyAlignment="1">
      <alignment horizontal="left" vertical="center"/>
    </xf>
    <xf numFmtId="0" fontId="19" fillId="2" borderId="21" xfId="0" applyFont="1" applyFill="1" applyBorder="1" applyAlignment="1">
      <alignment horizontal="left" vertical="center"/>
    </xf>
    <xf numFmtId="0" fontId="21" fillId="3" borderId="48" xfId="0" applyFont="1" applyFill="1" applyBorder="1" applyAlignment="1">
      <alignment horizontal="left" vertical="center"/>
    </xf>
    <xf numFmtId="0" fontId="21" fillId="3" borderId="47" xfId="0" applyFont="1" applyFill="1" applyBorder="1" applyAlignment="1">
      <alignment horizontal="left" vertical="center"/>
    </xf>
    <xf numFmtId="0" fontId="21" fillId="3" borderId="17" xfId="0" applyFont="1" applyFill="1" applyBorder="1" applyAlignment="1">
      <alignment horizontal="left" vertical="center"/>
    </xf>
    <xf numFmtId="165" fontId="21" fillId="3" borderId="55" xfId="0" applyNumberFormat="1" applyFont="1" applyFill="1" applyBorder="1" applyAlignment="1">
      <alignment horizontal="center" vertical="center"/>
    </xf>
    <xf numFmtId="0" fontId="19" fillId="10" borderId="60" xfId="0" applyFont="1" applyFill="1" applyBorder="1" applyAlignment="1">
      <alignment horizontal="center" vertical="center"/>
    </xf>
    <xf numFmtId="0" fontId="19" fillId="10" borderId="35" xfId="0" applyFont="1" applyFill="1" applyBorder="1" applyAlignment="1">
      <alignment horizontal="center" vertical="center"/>
    </xf>
    <xf numFmtId="14" fontId="21" fillId="3" borderId="21" xfId="0" applyNumberFormat="1" applyFont="1" applyFill="1" applyBorder="1" applyAlignment="1">
      <alignment horizontal="center"/>
    </xf>
    <xf numFmtId="0" fontId="21" fillId="3" borderId="21" xfId="0" applyFont="1" applyFill="1" applyBorder="1" applyAlignment="1">
      <alignment horizontal="center"/>
    </xf>
    <xf numFmtId="0" fontId="21" fillId="3" borderId="22" xfId="0" applyFont="1" applyFill="1" applyBorder="1" applyAlignment="1">
      <alignment horizontal="center"/>
    </xf>
    <xf numFmtId="14" fontId="21" fillId="3" borderId="47" xfId="0" applyNumberFormat="1" applyFont="1" applyFill="1" applyBorder="1" applyAlignment="1">
      <alignment horizontal="center"/>
    </xf>
    <xf numFmtId="0" fontId="21" fillId="3" borderId="47" xfId="0" applyFont="1" applyFill="1" applyBorder="1" applyAlignment="1">
      <alignment horizontal="center"/>
    </xf>
    <xf numFmtId="0" fontId="21" fillId="3" borderId="55" xfId="0" applyFont="1" applyFill="1" applyBorder="1" applyAlignment="1">
      <alignment horizontal="center"/>
    </xf>
    <xf numFmtId="0" fontId="21" fillId="0" borderId="20" xfId="0" applyFont="1" applyBorder="1" applyAlignment="1">
      <alignment horizontal="left"/>
    </xf>
    <xf numFmtId="0" fontId="21" fillId="0" borderId="3" xfId="0" applyFont="1" applyBorder="1" applyAlignment="1">
      <alignment horizontal="left"/>
    </xf>
    <xf numFmtId="0" fontId="21" fillId="0" borderId="27" xfId="0" applyFont="1" applyBorder="1" applyAlignment="1">
      <alignment horizontal="left"/>
    </xf>
    <xf numFmtId="0" fontId="21" fillId="0" borderId="4" xfId="0" applyFont="1" applyBorder="1" applyAlignment="1">
      <alignment horizontal="left"/>
    </xf>
    <xf numFmtId="0" fontId="31" fillId="12" borderId="48" xfId="0" applyFont="1" applyFill="1" applyBorder="1" applyAlignment="1">
      <alignment horizontal="center" vertical="center"/>
    </xf>
    <xf numFmtId="0" fontId="31" fillId="12" borderId="47" xfId="0" applyFont="1" applyFill="1" applyBorder="1" applyAlignment="1">
      <alignment horizontal="center" vertical="center"/>
    </xf>
    <xf numFmtId="0" fontId="21" fillId="0" borderId="20" xfId="0" applyFont="1" applyBorder="1" applyAlignment="1">
      <alignment horizontal="left" vertical="center" wrapText="1"/>
    </xf>
    <xf numFmtId="0" fontId="21" fillId="0" borderId="21" xfId="0" applyFont="1" applyBorder="1" applyAlignment="1">
      <alignment horizontal="left" vertical="center" wrapText="1"/>
    </xf>
    <xf numFmtId="0" fontId="21" fillId="0" borderId="22" xfId="0" applyFont="1" applyBorder="1" applyAlignment="1">
      <alignment horizontal="left" vertical="center" wrapText="1"/>
    </xf>
    <xf numFmtId="0" fontId="21" fillId="0" borderId="25" xfId="0" applyFont="1" applyBorder="1" applyAlignment="1">
      <alignment horizontal="left" vertical="center" wrapText="1"/>
    </xf>
    <xf numFmtId="0" fontId="21" fillId="0" borderId="0" xfId="0" applyFont="1" applyAlignment="1">
      <alignment horizontal="left" vertical="center" wrapText="1"/>
    </xf>
    <xf numFmtId="0" fontId="21" fillId="0" borderId="26" xfId="0" applyFont="1" applyBorder="1" applyAlignment="1">
      <alignment horizontal="left" vertical="center" wrapText="1"/>
    </xf>
    <xf numFmtId="0" fontId="19" fillId="2" borderId="32" xfId="0" applyFont="1" applyFill="1" applyBorder="1" applyAlignment="1">
      <alignment horizontal="center"/>
    </xf>
    <xf numFmtId="0" fontId="19" fillId="2" borderId="34" xfId="0" applyFont="1" applyFill="1" applyBorder="1" applyAlignment="1">
      <alignment horizontal="center"/>
    </xf>
    <xf numFmtId="0" fontId="26" fillId="6" borderId="0" xfId="0" applyFont="1" applyFill="1" applyAlignment="1">
      <alignment horizontal="center" vertical="center" wrapText="1"/>
    </xf>
    <xf numFmtId="0" fontId="26" fillId="6" borderId="26" xfId="0" applyFont="1" applyFill="1" applyBorder="1" applyAlignment="1">
      <alignment horizontal="center" vertical="center" wrapText="1"/>
    </xf>
    <xf numFmtId="0" fontId="21" fillId="3" borderId="27" xfId="0" applyFont="1" applyFill="1" applyBorder="1" applyAlignment="1">
      <alignment horizontal="center" vertical="center"/>
    </xf>
    <xf numFmtId="0" fontId="15" fillId="3" borderId="12" xfId="0" applyFont="1" applyFill="1" applyBorder="1" applyAlignment="1">
      <alignment horizontal="center" vertical="center"/>
    </xf>
    <xf numFmtId="0" fontId="18" fillId="2" borderId="52" xfId="0" applyFont="1" applyFill="1" applyBorder="1" applyAlignment="1">
      <alignment horizontal="center" vertical="center"/>
    </xf>
    <xf numFmtId="0" fontId="18" fillId="2" borderId="53" xfId="0" applyFont="1" applyFill="1" applyBorder="1" applyAlignment="1">
      <alignment horizontal="center" vertical="center"/>
    </xf>
    <xf numFmtId="0" fontId="18" fillId="2" borderId="54" xfId="0" applyFont="1" applyFill="1" applyBorder="1" applyAlignment="1">
      <alignment horizontal="center" vertical="center"/>
    </xf>
    <xf numFmtId="0" fontId="18" fillId="2" borderId="51" xfId="0" applyFont="1" applyFill="1" applyBorder="1" applyAlignment="1">
      <alignment horizontal="center" vertical="center"/>
    </xf>
    <xf numFmtId="0" fontId="24" fillId="2" borderId="31" xfId="0" applyFont="1" applyFill="1" applyBorder="1" applyAlignment="1">
      <alignment horizontal="center" vertical="center"/>
    </xf>
    <xf numFmtId="0" fontId="26" fillId="4" borderId="0" xfId="0" applyFont="1" applyFill="1" applyAlignment="1">
      <alignment horizontal="center" vertical="top" wrapText="1"/>
    </xf>
    <xf numFmtId="0" fontId="26" fillId="4" borderId="26" xfId="0" applyFont="1" applyFill="1" applyBorder="1" applyAlignment="1">
      <alignment horizontal="center" vertical="top" wrapText="1"/>
    </xf>
    <xf numFmtId="0" fontId="26" fillId="5" borderId="0" xfId="0" applyFont="1" applyFill="1" applyAlignment="1">
      <alignment horizontal="center" vertical="center" wrapText="1"/>
    </xf>
    <xf numFmtId="0" fontId="26" fillId="5" borderId="26" xfId="0" applyFont="1" applyFill="1" applyBorder="1" applyAlignment="1">
      <alignment horizontal="center" vertical="center" wrapText="1"/>
    </xf>
    <xf numFmtId="0" fontId="26" fillId="5" borderId="27" xfId="0" applyFont="1" applyFill="1" applyBorder="1" applyAlignment="1">
      <alignment horizontal="center" vertical="center" wrapText="1"/>
    </xf>
    <xf numFmtId="0" fontId="26" fillId="5" borderId="4" xfId="0" applyFont="1" applyFill="1" applyBorder="1" applyAlignment="1">
      <alignment horizontal="center" vertical="center" wrapText="1"/>
    </xf>
    <xf numFmtId="0" fontId="18" fillId="2" borderId="58" xfId="0" applyFont="1" applyFill="1" applyBorder="1" applyAlignment="1">
      <alignment horizontal="center" vertical="center"/>
    </xf>
    <xf numFmtId="0" fontId="18" fillId="2" borderId="59" xfId="0" applyFont="1" applyFill="1" applyBorder="1" applyAlignment="1">
      <alignment horizontal="center" vertical="center"/>
    </xf>
    <xf numFmtId="0" fontId="27" fillId="2" borderId="30" xfId="0" applyFont="1" applyFill="1" applyBorder="1" applyAlignment="1">
      <alignment horizontal="center" vertical="center"/>
    </xf>
    <xf numFmtId="0" fontId="27" fillId="2" borderId="21" xfId="0" applyFont="1" applyFill="1" applyBorder="1" applyAlignment="1">
      <alignment horizontal="center" vertical="center"/>
    </xf>
    <xf numFmtId="0" fontId="27" fillId="2" borderId="46" xfId="0" applyFont="1" applyFill="1" applyBorder="1" applyAlignment="1">
      <alignment horizontal="center" vertical="center"/>
    </xf>
    <xf numFmtId="0" fontId="17" fillId="3" borderId="25" xfId="0" applyFont="1" applyFill="1" applyBorder="1" applyAlignment="1">
      <alignment horizontal="center" vertical="center"/>
    </xf>
    <xf numFmtId="0" fontId="17" fillId="3" borderId="0" xfId="0" applyFont="1" applyFill="1" applyAlignment="1">
      <alignment horizontal="center" vertical="center"/>
    </xf>
    <xf numFmtId="0" fontId="17" fillId="3" borderId="26" xfId="0" applyFont="1" applyFill="1" applyBorder="1" applyAlignment="1">
      <alignment horizontal="center" vertical="center"/>
    </xf>
    <xf numFmtId="0" fontId="17" fillId="3" borderId="3" xfId="0" applyFont="1" applyFill="1" applyBorder="1" applyAlignment="1">
      <alignment horizontal="center" vertical="center"/>
    </xf>
    <xf numFmtId="0" fontId="17" fillId="3" borderId="27" xfId="0" applyFont="1" applyFill="1" applyBorder="1" applyAlignment="1">
      <alignment horizontal="center" vertical="center"/>
    </xf>
    <xf numFmtId="0" fontId="18" fillId="2" borderId="31" xfId="0" applyFont="1" applyFill="1" applyBorder="1" applyAlignment="1">
      <alignment horizontal="center" vertical="center"/>
    </xf>
    <xf numFmtId="0" fontId="18" fillId="2" borderId="63" xfId="0" applyFont="1" applyFill="1" applyBorder="1" applyAlignment="1">
      <alignment horizontal="center" vertical="center"/>
    </xf>
    <xf numFmtId="0" fontId="18" fillId="2" borderId="0" xfId="0" applyFont="1" applyFill="1" applyAlignment="1">
      <alignment horizontal="center" vertical="center"/>
    </xf>
    <xf numFmtId="0" fontId="21" fillId="3" borderId="3" xfId="0" applyFont="1" applyFill="1" applyBorder="1" applyAlignment="1">
      <alignment horizontal="center" vertical="center"/>
    </xf>
    <xf numFmtId="0" fontId="15" fillId="3" borderId="11" xfId="0" applyFont="1" applyFill="1" applyBorder="1" applyAlignment="1">
      <alignment horizontal="center" vertical="center"/>
    </xf>
    <xf numFmtId="164" fontId="21" fillId="3" borderId="15" xfId="0" applyNumberFormat="1" applyFont="1" applyFill="1" applyBorder="1" applyAlignment="1">
      <alignment horizontal="center" vertical="center"/>
    </xf>
    <xf numFmtId="164" fontId="19" fillId="3" borderId="16" xfId="0" applyNumberFormat="1" applyFont="1" applyFill="1" applyBorder="1" applyAlignment="1">
      <alignment horizontal="center" vertical="center"/>
    </xf>
    <xf numFmtId="164" fontId="19" fillId="3" borderId="55" xfId="0" applyNumberFormat="1" applyFont="1" applyFill="1" applyBorder="1" applyAlignment="1">
      <alignment horizontal="center" vertical="center"/>
    </xf>
    <xf numFmtId="0" fontId="21" fillId="0" borderId="6" xfId="0" applyFont="1" applyBorder="1" applyAlignment="1">
      <alignment horizontal="center" vertical="center" wrapText="1"/>
    </xf>
    <xf numFmtId="0" fontId="21" fillId="0" borderId="8" xfId="0" applyFont="1" applyBorder="1" applyAlignment="1">
      <alignment horizontal="center" vertical="center" wrapText="1"/>
    </xf>
    <xf numFmtId="0" fontId="6" fillId="8" borderId="19" xfId="1" applyFont="1" applyFill="1" applyBorder="1" applyAlignment="1">
      <alignment horizontal="center" vertical="center" wrapText="1"/>
    </xf>
    <xf numFmtId="0" fontId="6" fillId="8" borderId="10" xfId="1" applyFont="1" applyFill="1" applyBorder="1" applyAlignment="1">
      <alignment horizontal="center" vertical="center" wrapText="1"/>
    </xf>
    <xf numFmtId="0" fontId="3" fillId="0" borderId="41" xfId="2" applyBorder="1" applyAlignment="1">
      <alignment horizontal="left"/>
    </xf>
    <xf numFmtId="0" fontId="3" fillId="0" borderId="40"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1" fillId="3" borderId="0" xfId="3" applyFont="1" applyFill="1" applyAlignment="1">
      <alignment horizontal="left" vertical="top" wrapText="1"/>
    </xf>
  </cellXfs>
  <cellStyles count="6">
    <cellStyle name="Normal" xfId="0" builtinId="0"/>
    <cellStyle name="Normal 2" xfId="3" xr:uid="{1468DFB7-A64F-4035-94D4-B26D6719AA58}"/>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66">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13</xdr:col>
          <xdr:colOff>47625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49"/>
  <sheetViews>
    <sheetView showGridLines="0" tabSelected="1" zoomScale="120" zoomScaleNormal="120" workbookViewId="0">
      <selection activeCell="P6" sqref="P6:T6"/>
    </sheetView>
  </sheetViews>
  <sheetFormatPr defaultColWidth="0" defaultRowHeight="15" zeroHeight="1"/>
  <cols>
    <col min="1" max="1" width="2.7109375" bestFit="1" customWidth="1"/>
    <col min="2" max="2" width="12.140625" customWidth="1"/>
    <col min="3" max="3" width="7.28515625" customWidth="1"/>
    <col min="4" max="4" width="14.28515625" customWidth="1"/>
    <col min="5" max="5" width="2.85546875" customWidth="1"/>
    <col min="6" max="6" width="4.5703125" customWidth="1"/>
    <col min="7" max="7" width="4.42578125" customWidth="1"/>
    <col min="8" max="8" width="5.140625" customWidth="1"/>
    <col min="9" max="9" width="4.28515625" customWidth="1"/>
    <col min="10" max="10" width="4" customWidth="1"/>
    <col min="11" max="11" width="4" bestFit="1" customWidth="1"/>
    <col min="12" max="12" width="22.7109375" customWidth="1"/>
    <col min="13" max="14" width="3" customWidth="1"/>
    <col min="15" max="15" width="4" bestFit="1" customWidth="1"/>
    <col min="16" max="16" width="4.140625" customWidth="1"/>
    <col min="17" max="17" width="4.5703125" customWidth="1"/>
    <col min="18" max="18" width="4.140625" customWidth="1"/>
    <col min="19" max="24" width="2.85546875" customWidth="1"/>
    <col min="25" max="25" width="17.7109375" customWidth="1"/>
    <col min="26" max="26" width="1.5703125" customWidth="1"/>
    <col min="27" max="16384" width="9.140625" hidden="1"/>
  </cols>
  <sheetData>
    <row r="1" spans="1:25" ht="9" customHeight="1">
      <c r="A1" s="137"/>
      <c r="B1" s="138"/>
      <c r="C1" s="139"/>
      <c r="D1" s="152" t="s">
        <v>0</v>
      </c>
      <c r="E1" s="153"/>
      <c r="F1" s="153"/>
      <c r="G1" s="153"/>
      <c r="H1" s="153"/>
      <c r="I1" s="153"/>
      <c r="J1" s="153"/>
      <c r="K1" s="153"/>
      <c r="L1" s="153"/>
      <c r="M1" s="153"/>
      <c r="N1" s="153"/>
      <c r="O1" s="154"/>
      <c r="P1" s="172" t="s">
        <v>1</v>
      </c>
      <c r="Q1" s="173"/>
      <c r="R1" s="173"/>
      <c r="S1" s="173"/>
      <c r="T1" s="173"/>
      <c r="U1" s="173"/>
      <c r="V1" s="173"/>
      <c r="W1" s="173"/>
      <c r="X1" s="173"/>
      <c r="Y1" s="174"/>
    </row>
    <row r="2" spans="1:25" ht="17.25" customHeight="1" thickBot="1">
      <c r="A2" s="140"/>
      <c r="B2" s="141"/>
      <c r="C2" s="142"/>
      <c r="D2" s="244" t="s">
        <v>2</v>
      </c>
      <c r="E2" s="245"/>
      <c r="F2" s="245"/>
      <c r="G2" s="245"/>
      <c r="H2" s="245"/>
      <c r="I2" s="245"/>
      <c r="J2" s="245"/>
      <c r="K2" s="245"/>
      <c r="L2" s="245"/>
      <c r="M2" s="245"/>
      <c r="N2" s="245"/>
      <c r="O2" s="246"/>
      <c r="P2" s="175" t="s">
        <v>3</v>
      </c>
      <c r="Q2" s="176"/>
      <c r="R2" s="176"/>
      <c r="S2" s="176"/>
      <c r="T2" s="176"/>
      <c r="U2" s="176"/>
      <c r="V2" s="176"/>
      <c r="W2" s="176"/>
      <c r="X2" s="176"/>
      <c r="Y2" s="177"/>
    </row>
    <row r="3" spans="1:25" ht="9" customHeight="1">
      <c r="A3" s="140"/>
      <c r="B3" s="141"/>
      <c r="C3" s="142"/>
      <c r="D3" s="244"/>
      <c r="E3" s="245"/>
      <c r="F3" s="245"/>
      <c r="G3" s="245"/>
      <c r="H3" s="245"/>
      <c r="I3" s="245"/>
      <c r="J3" s="245"/>
      <c r="K3" s="245"/>
      <c r="L3" s="245"/>
      <c r="M3" s="245"/>
      <c r="N3" s="245"/>
      <c r="O3" s="245"/>
      <c r="P3" s="253" t="s">
        <v>4</v>
      </c>
      <c r="Q3" s="227"/>
      <c r="R3" s="227" t="s">
        <v>5</v>
      </c>
      <c r="S3" s="227"/>
      <c r="T3" s="227" t="s">
        <v>6</v>
      </c>
      <c r="U3" s="227"/>
      <c r="V3" s="227"/>
      <c r="W3" s="227"/>
      <c r="X3" s="181" t="s">
        <v>7</v>
      </c>
      <c r="Y3" s="182"/>
    </row>
    <row r="4" spans="1:25" ht="12.95" customHeight="1" thickBot="1">
      <c r="A4" s="140"/>
      <c r="B4" s="141"/>
      <c r="C4" s="142"/>
      <c r="D4" s="247"/>
      <c r="E4" s="248"/>
      <c r="F4" s="248"/>
      <c r="G4" s="248"/>
      <c r="H4" s="248"/>
      <c r="I4" s="248"/>
      <c r="J4" s="248"/>
      <c r="K4" s="248"/>
      <c r="L4" s="248"/>
      <c r="M4" s="248"/>
      <c r="N4" s="248"/>
      <c r="O4" s="248"/>
      <c r="P4" s="252" t="s">
        <v>8</v>
      </c>
      <c r="Q4" s="226"/>
      <c r="R4" s="183">
        <v>6</v>
      </c>
      <c r="S4" s="226"/>
      <c r="T4" s="254">
        <v>44146</v>
      </c>
      <c r="U4" s="254"/>
      <c r="V4" s="254"/>
      <c r="W4" s="254"/>
      <c r="X4" s="183" t="s">
        <v>9</v>
      </c>
      <c r="Y4" s="184"/>
    </row>
    <row r="5" spans="1:25" ht="13.5" customHeight="1">
      <c r="A5" s="149" t="s">
        <v>10</v>
      </c>
      <c r="B5" s="150"/>
      <c r="C5" s="150"/>
      <c r="D5" s="150"/>
      <c r="E5" s="150"/>
      <c r="F5" s="151"/>
      <c r="G5" s="196" t="s">
        <v>11</v>
      </c>
      <c r="H5" s="197"/>
      <c r="I5" s="197"/>
      <c r="J5" s="197"/>
      <c r="K5" s="197"/>
      <c r="L5" s="197"/>
      <c r="M5" s="193" t="s">
        <v>12</v>
      </c>
      <c r="N5" s="194"/>
      <c r="O5" s="195"/>
      <c r="P5" s="185" t="s">
        <v>13</v>
      </c>
      <c r="Q5" s="186"/>
      <c r="R5" s="186"/>
      <c r="S5" s="186"/>
      <c r="T5" s="187"/>
      <c r="U5" s="170" t="s">
        <v>14</v>
      </c>
      <c r="V5" s="202"/>
      <c r="W5" s="203"/>
      <c r="X5" s="170" t="s">
        <v>15</v>
      </c>
      <c r="Y5" s="171"/>
    </row>
    <row r="6" spans="1:25" ht="13.5" customHeight="1" thickBot="1">
      <c r="A6" s="191" t="s">
        <v>16</v>
      </c>
      <c r="B6" s="192"/>
      <c r="C6" s="192"/>
      <c r="D6" s="192"/>
      <c r="E6" s="192"/>
      <c r="F6" s="192"/>
      <c r="G6" s="198" t="s">
        <v>17</v>
      </c>
      <c r="H6" s="199"/>
      <c r="I6" s="199"/>
      <c r="J6" s="199"/>
      <c r="K6" s="199"/>
      <c r="L6" s="200"/>
      <c r="M6" s="188">
        <v>1</v>
      </c>
      <c r="N6" s="189"/>
      <c r="O6" s="201"/>
      <c r="P6" s="214" t="s">
        <v>18</v>
      </c>
      <c r="Q6" s="215"/>
      <c r="R6" s="215"/>
      <c r="S6" s="215"/>
      <c r="T6" s="215"/>
      <c r="U6" s="188">
        <f>M6</f>
        <v>1</v>
      </c>
      <c r="V6" s="189"/>
      <c r="W6" s="190"/>
      <c r="X6" s="255">
        <v>44197</v>
      </c>
      <c r="Y6" s="256"/>
    </row>
    <row r="7" spans="1:25" ht="13.5" customHeight="1" thickBot="1">
      <c r="A7" s="178" t="s">
        <v>19</v>
      </c>
      <c r="B7" s="179"/>
      <c r="C7" s="179"/>
      <c r="D7" s="179"/>
      <c r="E7" s="179"/>
      <c r="F7" s="179"/>
      <c r="G7" s="179"/>
      <c r="H7" s="179"/>
      <c r="I7" s="179"/>
      <c r="J7" s="179"/>
      <c r="K7" s="179"/>
      <c r="L7" s="179"/>
      <c r="M7" s="179"/>
      <c r="N7" s="179"/>
      <c r="O7" s="179"/>
      <c r="P7" s="179"/>
      <c r="Q7" s="179"/>
      <c r="R7" s="179"/>
      <c r="S7" s="179"/>
      <c r="T7" s="179"/>
      <c r="U7" s="179"/>
      <c r="V7" s="179"/>
      <c r="W7" s="179"/>
      <c r="X7" s="179"/>
      <c r="Y7" s="180"/>
    </row>
    <row r="8" spans="1:25" ht="17.25" customHeight="1" thickBot="1">
      <c r="A8" s="166"/>
      <c r="B8" s="167"/>
      <c r="C8" s="167"/>
      <c r="D8" s="61"/>
      <c r="E8" s="61"/>
      <c r="F8" s="61"/>
      <c r="G8" s="61"/>
      <c r="H8" s="61"/>
      <c r="I8" s="61"/>
      <c r="J8" s="61"/>
      <c r="K8" s="61"/>
      <c r="L8" s="61"/>
      <c r="M8" s="61"/>
      <c r="N8" s="61"/>
      <c r="O8" s="61"/>
      <c r="P8" s="61"/>
      <c r="Q8" s="61"/>
      <c r="R8" s="168"/>
      <c r="S8" s="168"/>
      <c r="T8" s="168"/>
      <c r="U8" s="168"/>
      <c r="V8" s="168"/>
      <c r="W8" s="168"/>
      <c r="X8" s="168"/>
      <c r="Y8" s="169"/>
    </row>
    <row r="9" spans="1:25" ht="11.1" customHeight="1" thickBot="1">
      <c r="A9" s="143" t="s">
        <v>20</v>
      </c>
      <c r="B9" s="144"/>
      <c r="C9" s="144" t="s">
        <v>21</v>
      </c>
      <c r="D9" s="147"/>
      <c r="E9" s="38"/>
      <c r="F9" s="232" t="s">
        <v>22</v>
      </c>
      <c r="G9" s="232"/>
      <c r="H9" s="232"/>
      <c r="I9" s="232"/>
      <c r="J9" s="232"/>
      <c r="K9" s="232"/>
      <c r="L9" s="74" t="s">
        <v>23</v>
      </c>
      <c r="M9" s="222" t="s">
        <v>24</v>
      </c>
      <c r="N9" s="222"/>
      <c r="O9" s="222"/>
      <c r="P9" s="222"/>
      <c r="Q9" s="222"/>
      <c r="R9" s="222"/>
      <c r="S9" s="222"/>
      <c r="T9" s="222"/>
      <c r="U9" s="222"/>
      <c r="V9" s="222"/>
      <c r="W9" s="222"/>
      <c r="X9" s="222"/>
      <c r="Y9" s="223"/>
    </row>
    <row r="10" spans="1:25" ht="9.9499999999999993" customHeight="1" thickBot="1">
      <c r="A10" s="145"/>
      <c r="B10" s="146"/>
      <c r="C10" s="146"/>
      <c r="D10" s="148"/>
      <c r="E10" s="161" t="s">
        <v>25</v>
      </c>
      <c r="F10" s="59"/>
      <c r="G10" s="59" t="s">
        <v>26</v>
      </c>
      <c r="H10" s="59" t="s">
        <v>27</v>
      </c>
      <c r="I10" s="59" t="s">
        <v>28</v>
      </c>
      <c r="J10" s="59" t="s">
        <v>29</v>
      </c>
      <c r="K10" s="59" t="s">
        <v>30</v>
      </c>
      <c r="L10" s="155" t="s">
        <v>31</v>
      </c>
      <c r="M10" s="224" t="s">
        <v>32</v>
      </c>
      <c r="N10" s="224"/>
      <c r="O10" s="224"/>
      <c r="P10" s="224"/>
      <c r="Q10" s="224"/>
      <c r="R10" s="224"/>
      <c r="S10" s="224"/>
      <c r="T10" s="224"/>
      <c r="U10" s="224"/>
      <c r="V10" s="224"/>
      <c r="W10" s="224"/>
      <c r="X10" s="224"/>
      <c r="Y10" s="225"/>
    </row>
    <row r="11" spans="1:25" ht="11.25" customHeight="1">
      <c r="A11" s="75" t="s">
        <v>30</v>
      </c>
      <c r="B11" s="76" t="s">
        <v>33</v>
      </c>
      <c r="C11" s="77" t="s">
        <v>34</v>
      </c>
      <c r="D11" s="76" t="s">
        <v>35</v>
      </c>
      <c r="E11" s="161"/>
      <c r="F11" s="59" t="s">
        <v>34</v>
      </c>
      <c r="G11" s="39">
        <v>5</v>
      </c>
      <c r="H11" s="40">
        <v>6</v>
      </c>
      <c r="I11" s="40">
        <v>7</v>
      </c>
      <c r="J11" s="40">
        <v>8</v>
      </c>
      <c r="K11" s="41">
        <v>9</v>
      </c>
      <c r="L11" s="155"/>
      <c r="M11" s="224"/>
      <c r="N11" s="224"/>
      <c r="O11" s="224"/>
      <c r="P11" s="224"/>
      <c r="Q11" s="224"/>
      <c r="R11" s="224"/>
      <c r="S11" s="224"/>
      <c r="T11" s="224"/>
      <c r="U11" s="224"/>
      <c r="V11" s="224"/>
      <c r="W11" s="224"/>
      <c r="X11" s="224"/>
      <c r="Y11" s="225"/>
    </row>
    <row r="12" spans="1:25" ht="11.25" customHeight="1">
      <c r="A12" s="52" t="s">
        <v>29</v>
      </c>
      <c r="B12" s="36" t="s">
        <v>36</v>
      </c>
      <c r="C12" s="78" t="s">
        <v>37</v>
      </c>
      <c r="D12" s="36" t="s">
        <v>38</v>
      </c>
      <c r="E12" s="161"/>
      <c r="F12" s="59" t="s">
        <v>37</v>
      </c>
      <c r="G12" s="42">
        <v>4</v>
      </c>
      <c r="H12" s="43">
        <v>5</v>
      </c>
      <c r="I12" s="44">
        <v>6</v>
      </c>
      <c r="J12" s="44">
        <v>7</v>
      </c>
      <c r="K12" s="45">
        <v>8</v>
      </c>
      <c r="L12" s="155" t="s">
        <v>39</v>
      </c>
      <c r="M12" s="233" t="s">
        <v>40</v>
      </c>
      <c r="N12" s="233"/>
      <c r="O12" s="233"/>
      <c r="P12" s="233"/>
      <c r="Q12" s="233"/>
      <c r="R12" s="233"/>
      <c r="S12" s="233"/>
      <c r="T12" s="233"/>
      <c r="U12" s="233"/>
      <c r="V12" s="233"/>
      <c r="W12" s="233"/>
      <c r="X12" s="233"/>
      <c r="Y12" s="234"/>
    </row>
    <row r="13" spans="1:25" ht="10.5" customHeight="1">
      <c r="A13" s="52" t="s">
        <v>28</v>
      </c>
      <c r="B13" s="36" t="s">
        <v>41</v>
      </c>
      <c r="C13" s="78" t="s">
        <v>42</v>
      </c>
      <c r="D13" s="36" t="s">
        <v>43</v>
      </c>
      <c r="E13" s="161"/>
      <c r="F13" s="59" t="s">
        <v>42</v>
      </c>
      <c r="G13" s="46">
        <v>3</v>
      </c>
      <c r="H13" s="43">
        <v>4</v>
      </c>
      <c r="I13" s="43">
        <v>5</v>
      </c>
      <c r="J13" s="44">
        <v>6</v>
      </c>
      <c r="K13" s="45">
        <v>7</v>
      </c>
      <c r="L13" s="155"/>
      <c r="M13" s="233"/>
      <c r="N13" s="233"/>
      <c r="O13" s="233"/>
      <c r="P13" s="233"/>
      <c r="Q13" s="233"/>
      <c r="R13" s="233"/>
      <c r="S13" s="233"/>
      <c r="T13" s="233"/>
      <c r="U13" s="233"/>
      <c r="V13" s="233"/>
      <c r="W13" s="233"/>
      <c r="X13" s="233"/>
      <c r="Y13" s="234"/>
    </row>
    <row r="14" spans="1:25" ht="10.5" customHeight="1">
      <c r="A14" s="52" t="s">
        <v>27</v>
      </c>
      <c r="B14" s="36" t="s">
        <v>44</v>
      </c>
      <c r="C14" s="78" t="s">
        <v>45</v>
      </c>
      <c r="D14" s="36" t="s">
        <v>46</v>
      </c>
      <c r="E14" s="161"/>
      <c r="F14" s="59" t="s">
        <v>45</v>
      </c>
      <c r="G14" s="46">
        <v>2</v>
      </c>
      <c r="H14" s="47">
        <v>3</v>
      </c>
      <c r="I14" s="43">
        <v>4</v>
      </c>
      <c r="J14" s="43">
        <v>5</v>
      </c>
      <c r="K14" s="45">
        <v>6</v>
      </c>
      <c r="L14" s="155" t="s">
        <v>47</v>
      </c>
      <c r="M14" s="235" t="s">
        <v>48</v>
      </c>
      <c r="N14" s="235"/>
      <c r="O14" s="235"/>
      <c r="P14" s="235"/>
      <c r="Q14" s="235"/>
      <c r="R14" s="235"/>
      <c r="S14" s="235"/>
      <c r="T14" s="235"/>
      <c r="U14" s="235"/>
      <c r="V14" s="235"/>
      <c r="W14" s="235"/>
      <c r="X14" s="235"/>
      <c r="Y14" s="236"/>
    </row>
    <row r="15" spans="1:25" ht="11.25" customHeight="1" thickBot="1">
      <c r="A15" s="53" t="s">
        <v>26</v>
      </c>
      <c r="B15" s="37" t="s">
        <v>49</v>
      </c>
      <c r="C15" s="79" t="s">
        <v>50</v>
      </c>
      <c r="D15" s="37" t="s">
        <v>51</v>
      </c>
      <c r="E15" s="162"/>
      <c r="F15" s="60" t="s">
        <v>50</v>
      </c>
      <c r="G15" s="48">
        <v>1</v>
      </c>
      <c r="H15" s="49">
        <v>2</v>
      </c>
      <c r="I15" s="49">
        <v>3</v>
      </c>
      <c r="J15" s="50">
        <v>4</v>
      </c>
      <c r="K15" s="51">
        <v>5</v>
      </c>
      <c r="L15" s="156"/>
      <c r="M15" s="237"/>
      <c r="N15" s="237"/>
      <c r="O15" s="237"/>
      <c r="P15" s="237"/>
      <c r="Q15" s="237"/>
      <c r="R15" s="237"/>
      <c r="S15" s="237"/>
      <c r="T15" s="237"/>
      <c r="U15" s="237"/>
      <c r="V15" s="237"/>
      <c r="W15" s="237"/>
      <c r="X15" s="237"/>
      <c r="Y15" s="238"/>
    </row>
    <row r="16" spans="1:25" ht="11.1" customHeight="1" thickBot="1">
      <c r="A16" s="163" t="s">
        <v>52</v>
      </c>
      <c r="B16" s="164"/>
      <c r="C16" s="164"/>
      <c r="D16" s="164"/>
      <c r="E16" s="164"/>
      <c r="F16" s="164"/>
      <c r="G16" s="164"/>
      <c r="H16" s="164"/>
      <c r="I16" s="164"/>
      <c r="J16" s="164"/>
      <c r="K16" s="164"/>
      <c r="L16" s="164"/>
      <c r="M16" s="164"/>
      <c r="N16" s="164"/>
      <c r="O16" s="164"/>
      <c r="P16" s="164"/>
      <c r="Q16" s="164"/>
      <c r="R16" s="164"/>
      <c r="S16" s="164"/>
      <c r="T16" s="164"/>
      <c r="U16" s="164"/>
      <c r="V16" s="164"/>
      <c r="W16" s="164"/>
      <c r="X16" s="164"/>
      <c r="Y16" s="165"/>
    </row>
    <row r="17" spans="1:26" ht="11.45" customHeight="1">
      <c r="A17" s="157" t="s">
        <v>53</v>
      </c>
      <c r="B17" s="158"/>
      <c r="C17" s="158"/>
      <c r="D17" s="228" t="s">
        <v>54</v>
      </c>
      <c r="E17" s="229"/>
      <c r="F17" s="241" t="s">
        <v>55</v>
      </c>
      <c r="G17" s="242"/>
      <c r="H17" s="243"/>
      <c r="I17" s="241" t="s">
        <v>56</v>
      </c>
      <c r="J17" s="242"/>
      <c r="K17" s="243"/>
      <c r="L17" s="239" t="s">
        <v>57</v>
      </c>
      <c r="M17" s="241" t="s">
        <v>58</v>
      </c>
      <c r="N17" s="242"/>
      <c r="O17" s="243"/>
      <c r="P17" s="228" t="s">
        <v>59</v>
      </c>
      <c r="Q17" s="249"/>
      <c r="R17" s="249"/>
      <c r="S17" s="249"/>
      <c r="T17" s="249"/>
      <c r="U17" s="249"/>
      <c r="V17" s="249"/>
      <c r="W17" s="249"/>
      <c r="X17" s="249"/>
      <c r="Y17" s="249"/>
    </row>
    <row r="18" spans="1:26" ht="12.6" customHeight="1" thickBot="1">
      <c r="A18" s="159"/>
      <c r="B18" s="160"/>
      <c r="C18" s="160"/>
      <c r="D18" s="230"/>
      <c r="E18" s="231"/>
      <c r="F18" s="65" t="s">
        <v>60</v>
      </c>
      <c r="G18" s="65" t="s">
        <v>61</v>
      </c>
      <c r="H18" s="64" t="s">
        <v>62</v>
      </c>
      <c r="I18" s="65" t="s">
        <v>60</v>
      </c>
      <c r="J18" s="65" t="s">
        <v>61</v>
      </c>
      <c r="K18" s="64" t="s">
        <v>63</v>
      </c>
      <c r="L18" s="240"/>
      <c r="M18" s="65" t="s">
        <v>60</v>
      </c>
      <c r="N18" s="65" t="s">
        <v>61</v>
      </c>
      <c r="O18" s="65" t="s">
        <v>64</v>
      </c>
      <c r="P18" s="250"/>
      <c r="Q18" s="251"/>
      <c r="R18" s="251"/>
      <c r="S18" s="251"/>
      <c r="T18" s="251"/>
      <c r="U18" s="251"/>
      <c r="V18" s="251"/>
      <c r="W18" s="251"/>
      <c r="X18" s="251"/>
      <c r="Y18" s="251"/>
      <c r="Z18" s="58"/>
    </row>
    <row r="19" spans="1:26" ht="38.25" customHeight="1" thickBot="1">
      <c r="A19" s="66">
        <v>1</v>
      </c>
      <c r="B19" s="120" t="s">
        <v>65</v>
      </c>
      <c r="C19" s="120"/>
      <c r="D19" s="135" t="s">
        <v>66</v>
      </c>
      <c r="E19" s="136"/>
      <c r="F19" s="67">
        <v>1</v>
      </c>
      <c r="G19" s="67">
        <v>4</v>
      </c>
      <c r="H19" s="68">
        <f t="shared" ref="H19:H29" si="0">F19+G19-1</f>
        <v>4</v>
      </c>
      <c r="I19" s="67">
        <v>3</v>
      </c>
      <c r="J19" s="67">
        <v>4</v>
      </c>
      <c r="K19" s="69">
        <f t="shared" ref="K19:K29" si="1">I19+J19-1</f>
        <v>6</v>
      </c>
      <c r="L19" s="99" t="s">
        <v>67</v>
      </c>
      <c r="M19" s="66">
        <v>2</v>
      </c>
      <c r="N19" s="67">
        <v>2</v>
      </c>
      <c r="O19" s="71">
        <f>M19+N19-1</f>
        <v>3</v>
      </c>
      <c r="P19" s="216" t="s">
        <v>68</v>
      </c>
      <c r="Q19" s="217"/>
      <c r="R19" s="217"/>
      <c r="S19" s="217"/>
      <c r="T19" s="217"/>
      <c r="U19" s="217"/>
      <c r="V19" s="217"/>
      <c r="W19" s="217"/>
      <c r="X19" s="217"/>
      <c r="Y19" s="218"/>
      <c r="Z19" s="58"/>
    </row>
    <row r="20" spans="1:26" ht="57" customHeight="1" thickBot="1">
      <c r="A20" s="55">
        <v>2</v>
      </c>
      <c r="B20" s="120" t="s">
        <v>65</v>
      </c>
      <c r="C20" s="120"/>
      <c r="D20" s="135" t="s">
        <v>66</v>
      </c>
      <c r="E20" s="136"/>
      <c r="F20" s="67">
        <v>1</v>
      </c>
      <c r="G20" s="67">
        <v>4</v>
      </c>
      <c r="H20" s="54">
        <f t="shared" si="0"/>
        <v>4</v>
      </c>
      <c r="I20" s="67">
        <v>3</v>
      </c>
      <c r="J20" s="67">
        <v>4</v>
      </c>
      <c r="K20" s="70">
        <f t="shared" si="1"/>
        <v>6</v>
      </c>
      <c r="L20" s="100" t="s">
        <v>69</v>
      </c>
      <c r="M20" s="66">
        <v>2</v>
      </c>
      <c r="N20" s="67">
        <v>2</v>
      </c>
      <c r="O20" s="72">
        <f t="shared" ref="O20:O29" si="2">M20+N20-1</f>
        <v>3</v>
      </c>
      <c r="P20" s="216" t="s">
        <v>70</v>
      </c>
      <c r="Q20" s="217"/>
      <c r="R20" s="217"/>
      <c r="S20" s="217"/>
      <c r="T20" s="217"/>
      <c r="U20" s="217"/>
      <c r="V20" s="217"/>
      <c r="W20" s="217"/>
      <c r="X20" s="217"/>
      <c r="Y20" s="218"/>
      <c r="Z20" s="58"/>
    </row>
    <row r="21" spans="1:26" ht="33" customHeight="1" thickBot="1">
      <c r="A21" s="55">
        <v>3</v>
      </c>
      <c r="B21" s="120" t="s">
        <v>71</v>
      </c>
      <c r="C21" s="120"/>
      <c r="D21" s="135" t="s">
        <v>66</v>
      </c>
      <c r="E21" s="136"/>
      <c r="F21" s="67">
        <v>1</v>
      </c>
      <c r="G21" s="67">
        <v>4</v>
      </c>
      <c r="H21" s="54">
        <f t="shared" si="0"/>
        <v>4</v>
      </c>
      <c r="I21" s="67">
        <v>3</v>
      </c>
      <c r="J21" s="67">
        <v>4</v>
      </c>
      <c r="K21" s="70">
        <f t="shared" si="1"/>
        <v>6</v>
      </c>
      <c r="L21" s="100" t="s">
        <v>72</v>
      </c>
      <c r="M21" s="66">
        <v>2</v>
      </c>
      <c r="N21" s="67">
        <v>2</v>
      </c>
      <c r="O21" s="72">
        <f t="shared" si="2"/>
        <v>3</v>
      </c>
      <c r="P21" s="131" t="s">
        <v>73</v>
      </c>
      <c r="Q21" s="129"/>
      <c r="R21" s="129"/>
      <c r="S21" s="129"/>
      <c r="T21" s="129"/>
      <c r="U21" s="129"/>
      <c r="V21" s="129"/>
      <c r="W21" s="129"/>
      <c r="X21" s="129"/>
      <c r="Y21" s="130"/>
      <c r="Z21" s="58"/>
    </row>
    <row r="22" spans="1:26" s="98" customFormat="1" ht="60" customHeight="1" thickBot="1">
      <c r="A22" s="93">
        <v>4</v>
      </c>
      <c r="B22" s="105" t="s">
        <v>74</v>
      </c>
      <c r="C22" s="106"/>
      <c r="D22" s="135" t="s">
        <v>66</v>
      </c>
      <c r="E22" s="136"/>
      <c r="F22" s="80">
        <v>1</v>
      </c>
      <c r="G22" s="80">
        <v>4</v>
      </c>
      <c r="H22" s="94">
        <f t="shared" si="0"/>
        <v>4</v>
      </c>
      <c r="I22" s="80">
        <v>3</v>
      </c>
      <c r="J22" s="80">
        <v>4</v>
      </c>
      <c r="K22" s="95">
        <f t="shared" si="1"/>
        <v>6</v>
      </c>
      <c r="L22" s="100" t="s">
        <v>75</v>
      </c>
      <c r="M22" s="96">
        <v>2</v>
      </c>
      <c r="N22" s="80">
        <v>2</v>
      </c>
      <c r="O22" s="72">
        <f t="shared" si="2"/>
        <v>3</v>
      </c>
      <c r="P22" s="219" t="s">
        <v>76</v>
      </c>
      <c r="Q22" s="220"/>
      <c r="R22" s="220"/>
      <c r="S22" s="220"/>
      <c r="T22" s="220"/>
      <c r="U22" s="220"/>
      <c r="V22" s="220"/>
      <c r="W22" s="220"/>
      <c r="X22" s="220"/>
      <c r="Y22" s="221"/>
      <c r="Z22" s="97"/>
    </row>
    <row r="23" spans="1:26" ht="56.25" customHeight="1" thickBot="1">
      <c r="A23" s="55">
        <v>5</v>
      </c>
      <c r="B23" s="105" t="s">
        <v>74</v>
      </c>
      <c r="C23" s="106"/>
      <c r="D23" s="135" t="s">
        <v>66</v>
      </c>
      <c r="E23" s="136"/>
      <c r="F23" s="67">
        <v>1</v>
      </c>
      <c r="G23" s="67">
        <v>4</v>
      </c>
      <c r="H23" s="54">
        <f t="shared" si="0"/>
        <v>4</v>
      </c>
      <c r="I23" s="67">
        <v>3</v>
      </c>
      <c r="J23" s="67">
        <v>4</v>
      </c>
      <c r="K23" s="70">
        <f t="shared" si="1"/>
        <v>6</v>
      </c>
      <c r="L23" s="100" t="s">
        <v>77</v>
      </c>
      <c r="M23" s="66">
        <v>2</v>
      </c>
      <c r="N23" s="67">
        <v>2</v>
      </c>
      <c r="O23" s="72">
        <f t="shared" si="2"/>
        <v>3</v>
      </c>
      <c r="P23" s="131" t="s">
        <v>78</v>
      </c>
      <c r="Q23" s="129"/>
      <c r="R23" s="129"/>
      <c r="S23" s="129"/>
      <c r="T23" s="129"/>
      <c r="U23" s="129"/>
      <c r="V23" s="129"/>
      <c r="W23" s="129"/>
      <c r="X23" s="129"/>
      <c r="Y23" s="130"/>
      <c r="Z23" s="58"/>
    </row>
    <row r="24" spans="1:26" s="98" customFormat="1" ht="71.25" customHeight="1" thickBot="1">
      <c r="A24" s="93">
        <v>6</v>
      </c>
      <c r="B24" s="105" t="s">
        <v>79</v>
      </c>
      <c r="C24" s="106"/>
      <c r="D24" s="135" t="s">
        <v>66</v>
      </c>
      <c r="E24" s="136"/>
      <c r="F24" s="80">
        <v>1</v>
      </c>
      <c r="G24" s="80">
        <v>4</v>
      </c>
      <c r="H24" s="94">
        <f t="shared" si="0"/>
        <v>4</v>
      </c>
      <c r="I24" s="80">
        <v>3</v>
      </c>
      <c r="J24" s="80">
        <v>4</v>
      </c>
      <c r="K24" s="95">
        <f t="shared" si="1"/>
        <v>6</v>
      </c>
      <c r="L24" s="101" t="s">
        <v>80</v>
      </c>
      <c r="M24" s="96">
        <v>2</v>
      </c>
      <c r="N24" s="80">
        <v>2</v>
      </c>
      <c r="O24" s="72">
        <f t="shared" si="2"/>
        <v>3</v>
      </c>
      <c r="P24" s="219" t="s">
        <v>81</v>
      </c>
      <c r="Q24" s="220"/>
      <c r="R24" s="220"/>
      <c r="S24" s="220"/>
      <c r="T24" s="220"/>
      <c r="U24" s="220"/>
      <c r="V24" s="220"/>
      <c r="W24" s="220"/>
      <c r="X24" s="220"/>
      <c r="Y24" s="221"/>
      <c r="Z24" s="97"/>
    </row>
    <row r="25" spans="1:26" ht="32.25" customHeight="1" thickBot="1">
      <c r="A25" s="55">
        <v>7</v>
      </c>
      <c r="B25" s="105" t="s">
        <v>79</v>
      </c>
      <c r="C25" s="106"/>
      <c r="D25" s="135" t="s">
        <v>66</v>
      </c>
      <c r="E25" s="136"/>
      <c r="F25" s="67">
        <v>1</v>
      </c>
      <c r="G25" s="67">
        <v>4</v>
      </c>
      <c r="H25" s="54">
        <f t="shared" si="0"/>
        <v>4</v>
      </c>
      <c r="I25" s="67">
        <v>3</v>
      </c>
      <c r="J25" s="67">
        <v>4</v>
      </c>
      <c r="K25" s="70">
        <f t="shared" si="1"/>
        <v>6</v>
      </c>
      <c r="L25" s="101" t="s">
        <v>82</v>
      </c>
      <c r="M25" s="66">
        <v>2</v>
      </c>
      <c r="N25" s="67">
        <v>2</v>
      </c>
      <c r="O25" s="72">
        <f t="shared" si="2"/>
        <v>3</v>
      </c>
      <c r="P25" s="131" t="s">
        <v>83</v>
      </c>
      <c r="Q25" s="129"/>
      <c r="R25" s="129"/>
      <c r="S25" s="129"/>
      <c r="T25" s="129"/>
      <c r="U25" s="129"/>
      <c r="V25" s="129"/>
      <c r="W25" s="129"/>
      <c r="X25" s="129"/>
      <c r="Y25" s="130"/>
      <c r="Z25" s="58"/>
    </row>
    <row r="26" spans="1:26" ht="90.75" customHeight="1" thickBot="1">
      <c r="A26" s="55">
        <v>8</v>
      </c>
      <c r="B26" s="121" t="s">
        <v>84</v>
      </c>
      <c r="C26" s="120"/>
      <c r="D26" s="135" t="s">
        <v>66</v>
      </c>
      <c r="E26" s="136"/>
      <c r="F26" s="67">
        <v>1</v>
      </c>
      <c r="G26" s="67">
        <v>4</v>
      </c>
      <c r="H26" s="54">
        <f t="shared" si="0"/>
        <v>4</v>
      </c>
      <c r="I26" s="67">
        <v>3</v>
      </c>
      <c r="J26" s="67">
        <v>4</v>
      </c>
      <c r="K26" s="70">
        <f t="shared" si="1"/>
        <v>6</v>
      </c>
      <c r="L26" s="101" t="s">
        <v>85</v>
      </c>
      <c r="M26" s="66">
        <v>2</v>
      </c>
      <c r="N26" s="67">
        <v>2</v>
      </c>
      <c r="O26" s="72">
        <f t="shared" si="2"/>
        <v>3</v>
      </c>
      <c r="P26" s="219" t="s">
        <v>86</v>
      </c>
      <c r="Q26" s="220"/>
      <c r="R26" s="220"/>
      <c r="S26" s="220"/>
      <c r="T26" s="220"/>
      <c r="U26" s="220"/>
      <c r="V26" s="220"/>
      <c r="W26" s="220"/>
      <c r="X26" s="220"/>
      <c r="Y26" s="221"/>
      <c r="Z26" s="58"/>
    </row>
    <row r="27" spans="1:26" ht="27.75" customHeight="1" thickBot="1">
      <c r="A27" s="55">
        <v>9</v>
      </c>
      <c r="B27" s="120" t="s">
        <v>87</v>
      </c>
      <c r="C27" s="120"/>
      <c r="D27" s="135" t="s">
        <v>66</v>
      </c>
      <c r="E27" s="136"/>
      <c r="F27" s="67">
        <v>1</v>
      </c>
      <c r="G27" s="67">
        <v>4</v>
      </c>
      <c r="H27" s="54">
        <f t="shared" si="0"/>
        <v>4</v>
      </c>
      <c r="I27" s="67">
        <v>3</v>
      </c>
      <c r="J27" s="67">
        <v>4</v>
      </c>
      <c r="K27" s="70">
        <f t="shared" si="1"/>
        <v>6</v>
      </c>
      <c r="L27" s="101" t="s">
        <v>88</v>
      </c>
      <c r="M27" s="66">
        <v>2</v>
      </c>
      <c r="N27" s="67">
        <v>2</v>
      </c>
      <c r="O27" s="72">
        <f t="shared" si="2"/>
        <v>3</v>
      </c>
      <c r="P27" s="128" t="s">
        <v>89</v>
      </c>
      <c r="Q27" s="129"/>
      <c r="R27" s="129"/>
      <c r="S27" s="129"/>
      <c r="T27" s="129"/>
      <c r="U27" s="129"/>
      <c r="V27" s="129"/>
      <c r="W27" s="129"/>
      <c r="X27" s="129"/>
      <c r="Y27" s="130"/>
      <c r="Z27" s="58"/>
    </row>
    <row r="28" spans="1:26" ht="305.25" customHeight="1">
      <c r="A28" s="57">
        <v>10</v>
      </c>
      <c r="B28" s="120" t="s">
        <v>90</v>
      </c>
      <c r="C28" s="120"/>
      <c r="D28" s="135" t="s">
        <v>91</v>
      </c>
      <c r="E28" s="136"/>
      <c r="F28" s="67">
        <v>1</v>
      </c>
      <c r="G28" s="67">
        <v>4</v>
      </c>
      <c r="H28" s="54">
        <f t="shared" si="0"/>
        <v>4</v>
      </c>
      <c r="I28" s="67">
        <v>3</v>
      </c>
      <c r="J28" s="67">
        <v>4</v>
      </c>
      <c r="K28" s="70">
        <f t="shared" si="1"/>
        <v>6</v>
      </c>
      <c r="L28" s="101" t="s">
        <v>92</v>
      </c>
      <c r="M28" s="66">
        <v>2</v>
      </c>
      <c r="N28" s="67">
        <v>2</v>
      </c>
      <c r="O28" s="72">
        <f t="shared" si="2"/>
        <v>3</v>
      </c>
      <c r="P28" s="131" t="s">
        <v>93</v>
      </c>
      <c r="Q28" s="129"/>
      <c r="R28" s="129"/>
      <c r="S28" s="129"/>
      <c r="T28" s="129"/>
      <c r="U28" s="129"/>
      <c r="V28" s="129"/>
      <c r="W28" s="129"/>
      <c r="X28" s="129"/>
      <c r="Y28" s="130"/>
      <c r="Z28" s="58"/>
    </row>
    <row r="29" spans="1:26" ht="24" hidden="1" customHeight="1">
      <c r="A29" s="57"/>
      <c r="B29" s="119"/>
      <c r="C29" s="119"/>
      <c r="D29" s="257"/>
      <c r="E29" s="258"/>
      <c r="F29" s="56"/>
      <c r="G29" s="56"/>
      <c r="H29" s="54">
        <f t="shared" si="0"/>
        <v>-1</v>
      </c>
      <c r="I29" s="56"/>
      <c r="J29" s="56"/>
      <c r="K29" s="70">
        <f t="shared" si="1"/>
        <v>-1</v>
      </c>
      <c r="L29" s="73"/>
      <c r="M29" s="55"/>
      <c r="N29" s="56"/>
      <c r="O29" s="72">
        <f t="shared" si="2"/>
        <v>-1</v>
      </c>
      <c r="P29" s="132"/>
      <c r="Q29" s="133"/>
      <c r="R29" s="133"/>
      <c r="S29" s="133"/>
      <c r="T29" s="133"/>
      <c r="U29" s="133"/>
      <c r="V29" s="133"/>
      <c r="W29" s="133"/>
      <c r="X29" s="133"/>
      <c r="Y29" s="134"/>
      <c r="Z29" s="58"/>
    </row>
    <row r="30" spans="1:26" ht="10.5" customHeight="1">
      <c r="A30" s="110" t="s">
        <v>94</v>
      </c>
      <c r="B30" s="111"/>
      <c r="C30" s="111"/>
      <c r="D30" s="111"/>
      <c r="E30" s="111"/>
      <c r="F30" s="111"/>
      <c r="G30" s="111"/>
      <c r="H30" s="111"/>
      <c r="I30" s="111"/>
      <c r="J30" s="111"/>
      <c r="K30" s="111"/>
      <c r="L30" s="111"/>
      <c r="M30" s="111"/>
      <c r="N30" s="111"/>
      <c r="O30" s="111"/>
      <c r="P30" s="111"/>
      <c r="Q30" s="111"/>
      <c r="R30" s="111"/>
      <c r="S30" s="111"/>
      <c r="T30" s="111"/>
      <c r="U30" s="111"/>
      <c r="V30" s="111"/>
      <c r="W30" s="111"/>
      <c r="X30" s="111"/>
      <c r="Y30" s="112"/>
    </row>
    <row r="31" spans="1:26" ht="15" customHeight="1">
      <c r="A31" s="113" t="s">
        <v>95</v>
      </c>
      <c r="B31" s="114"/>
      <c r="C31" s="114"/>
      <c r="D31" s="114"/>
      <c r="E31" s="114"/>
      <c r="F31" s="114"/>
      <c r="G31" s="114"/>
      <c r="H31" s="114"/>
      <c r="I31" s="114"/>
      <c r="J31" s="114"/>
      <c r="K31" s="114"/>
      <c r="L31" s="114"/>
      <c r="M31" s="114"/>
      <c r="N31" s="114"/>
      <c r="O31" s="114"/>
      <c r="P31" s="114"/>
      <c r="Q31" s="114"/>
      <c r="R31" s="114"/>
      <c r="S31" s="114"/>
      <c r="T31" s="114"/>
      <c r="U31" s="114"/>
      <c r="V31" s="114"/>
      <c r="W31" s="114"/>
      <c r="X31" s="114"/>
      <c r="Y31" s="115"/>
    </row>
    <row r="32" spans="1:26" ht="22.5" customHeight="1" thickBot="1">
      <c r="A32" s="116"/>
      <c r="B32" s="117"/>
      <c r="C32" s="117"/>
      <c r="D32" s="117"/>
      <c r="E32" s="117"/>
      <c r="F32" s="117"/>
      <c r="G32" s="117"/>
      <c r="H32" s="117"/>
      <c r="I32" s="117"/>
      <c r="J32" s="117"/>
      <c r="K32" s="117"/>
      <c r="L32" s="117"/>
      <c r="M32" s="117"/>
      <c r="N32" s="117"/>
      <c r="O32" s="117"/>
      <c r="P32" s="117"/>
      <c r="Q32" s="117"/>
      <c r="R32" s="117"/>
      <c r="S32" s="117"/>
      <c r="T32" s="117"/>
      <c r="U32" s="117"/>
      <c r="V32" s="117"/>
      <c r="W32" s="117"/>
      <c r="X32" s="117"/>
      <c r="Y32" s="118"/>
    </row>
    <row r="33" spans="1:25" ht="12.6" customHeight="1">
      <c r="A33" s="102" t="s">
        <v>96</v>
      </c>
      <c r="B33" s="103"/>
      <c r="C33" s="104"/>
      <c r="D33" s="122" t="s">
        <v>97</v>
      </c>
      <c r="E33" s="123"/>
      <c r="F33" s="123"/>
      <c r="G33" s="123"/>
      <c r="H33" s="123"/>
      <c r="I33" s="123"/>
      <c r="J33" s="123"/>
      <c r="K33" s="124"/>
      <c r="L33" s="210" t="s">
        <v>98</v>
      </c>
      <c r="M33" s="123"/>
      <c r="N33" s="123"/>
      <c r="O33" s="123"/>
      <c r="P33" s="124"/>
      <c r="Q33" s="62" t="s">
        <v>99</v>
      </c>
      <c r="R33" s="204">
        <v>44251</v>
      </c>
      <c r="S33" s="205"/>
      <c r="T33" s="205"/>
      <c r="U33" s="205"/>
      <c r="V33" s="205"/>
      <c r="W33" s="205"/>
      <c r="X33" s="205"/>
      <c r="Y33" s="206"/>
    </row>
    <row r="34" spans="1:25" ht="12" customHeight="1" thickBot="1">
      <c r="A34" s="107" t="s">
        <v>100</v>
      </c>
      <c r="B34" s="108"/>
      <c r="C34" s="109"/>
      <c r="D34" s="125" t="s">
        <v>101</v>
      </c>
      <c r="E34" s="126"/>
      <c r="F34" s="126"/>
      <c r="G34" s="126"/>
      <c r="H34" s="126"/>
      <c r="I34" s="126"/>
      <c r="J34" s="126"/>
      <c r="K34" s="127"/>
      <c r="L34" s="211" t="s">
        <v>102</v>
      </c>
      <c r="M34" s="212"/>
      <c r="N34" s="212"/>
      <c r="O34" s="212"/>
      <c r="P34" s="213"/>
      <c r="Q34" s="63" t="s">
        <v>99</v>
      </c>
      <c r="R34" s="207">
        <v>44251</v>
      </c>
      <c r="S34" s="208"/>
      <c r="T34" s="208"/>
      <c r="U34" s="208"/>
      <c r="V34" s="208"/>
      <c r="W34" s="208"/>
      <c r="X34" s="208"/>
      <c r="Y34" s="209"/>
    </row>
    <row r="35" spans="1:25" hidden="1">
      <c r="A35" s="58"/>
      <c r="B35" s="58"/>
      <c r="C35" s="58"/>
      <c r="D35" s="58"/>
      <c r="E35" s="58"/>
      <c r="F35" s="58"/>
      <c r="G35" s="58"/>
      <c r="H35" s="58"/>
      <c r="I35" s="58"/>
      <c r="J35" s="58"/>
      <c r="K35" s="58"/>
      <c r="L35" s="58"/>
      <c r="M35" s="58"/>
      <c r="N35" s="58"/>
      <c r="O35" s="58"/>
      <c r="P35" s="58"/>
      <c r="Q35" s="58"/>
      <c r="R35" s="58"/>
      <c r="S35" s="58"/>
      <c r="T35" s="58"/>
      <c r="U35" s="58"/>
      <c r="V35" s="58"/>
      <c r="W35" s="58"/>
      <c r="X35" s="58"/>
      <c r="Y35" s="58"/>
    </row>
    <row r="47" spans="1:25" ht="48" hidden="1" customHeight="1"/>
    <row r="48" spans="1:25" ht="57" hidden="1" customHeight="1"/>
    <row r="49" ht="34.5" hidden="1" customHeight="1"/>
  </sheetData>
  <mergeCells count="90">
    <mergeCell ref="D28:E28"/>
    <mergeCell ref="D29:E29"/>
    <mergeCell ref="F17:H17"/>
    <mergeCell ref="I17:K17"/>
    <mergeCell ref="D24:E24"/>
    <mergeCell ref="D25:E25"/>
    <mergeCell ref="D19:E19"/>
    <mergeCell ref="D20:E20"/>
    <mergeCell ref="D21:E21"/>
    <mergeCell ref="D22:E22"/>
    <mergeCell ref="D23:E23"/>
    <mergeCell ref="R4:S4"/>
    <mergeCell ref="R3:S3"/>
    <mergeCell ref="D17:E18"/>
    <mergeCell ref="F9:K9"/>
    <mergeCell ref="L12:L13"/>
    <mergeCell ref="M12:Y13"/>
    <mergeCell ref="M14:Y15"/>
    <mergeCell ref="L17:L18"/>
    <mergeCell ref="M17:O17"/>
    <mergeCell ref="D2:O4"/>
    <mergeCell ref="P17:Y18"/>
    <mergeCell ref="P4:Q4"/>
    <mergeCell ref="P3:Q3"/>
    <mergeCell ref="T4:W4"/>
    <mergeCell ref="T3:W3"/>
    <mergeCell ref="X6:Y6"/>
    <mergeCell ref="R33:Y33"/>
    <mergeCell ref="R34:Y34"/>
    <mergeCell ref="L33:P33"/>
    <mergeCell ref="L34:P34"/>
    <mergeCell ref="P6:T6"/>
    <mergeCell ref="P19:Y19"/>
    <mergeCell ref="P20:Y20"/>
    <mergeCell ref="P21:Y21"/>
    <mergeCell ref="P22:Y22"/>
    <mergeCell ref="P23:Y23"/>
    <mergeCell ref="P24:Y24"/>
    <mergeCell ref="P25:Y25"/>
    <mergeCell ref="P26:Y26"/>
    <mergeCell ref="M9:Y9"/>
    <mergeCell ref="M10:Y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B24:C24"/>
    <mergeCell ref="A1:C4"/>
    <mergeCell ref="A9:B10"/>
    <mergeCell ref="C9:D10"/>
    <mergeCell ref="A5:F5"/>
    <mergeCell ref="B21:C21"/>
    <mergeCell ref="D1:O1"/>
    <mergeCell ref="L14:L15"/>
    <mergeCell ref="A17:C18"/>
    <mergeCell ref="B22:C22"/>
    <mergeCell ref="B23:C23"/>
    <mergeCell ref="B19:C19"/>
    <mergeCell ref="B20:C20"/>
    <mergeCell ref="E10:E15"/>
    <mergeCell ref="A16:Y16"/>
    <mergeCell ref="L10:L11"/>
    <mergeCell ref="A33:C33"/>
    <mergeCell ref="B25:C25"/>
    <mergeCell ref="A34:C34"/>
    <mergeCell ref="A30:Y30"/>
    <mergeCell ref="A31:Y32"/>
    <mergeCell ref="B29:C29"/>
    <mergeCell ref="B28:C28"/>
    <mergeCell ref="B27:C27"/>
    <mergeCell ref="B26:C26"/>
    <mergeCell ref="D33:K33"/>
    <mergeCell ref="D34:K34"/>
    <mergeCell ref="P27:Y27"/>
    <mergeCell ref="P28:Y28"/>
    <mergeCell ref="P29:Y29"/>
    <mergeCell ref="D26:E26"/>
    <mergeCell ref="D27:E27"/>
  </mergeCells>
  <phoneticPr fontId="13" type="noConversion"/>
  <conditionalFormatting sqref="K19:K21 K24 K26:K27">
    <cfRule type="cellIs" dxfId="65" priority="118" operator="greaterThan">
      <formula>5.91</formula>
    </cfRule>
    <cfRule type="cellIs" dxfId="64" priority="119" operator="between">
      <formula>3.5</formula>
      <formula>5.9</formula>
    </cfRule>
    <cfRule type="cellIs" dxfId="63" priority="120" operator="between">
      <formula>0.9</formula>
      <formula>3.49</formula>
    </cfRule>
  </conditionalFormatting>
  <conditionalFormatting sqref="K22">
    <cfRule type="cellIs" dxfId="62" priority="82" operator="greaterThan">
      <formula>5.91</formula>
    </cfRule>
    <cfRule type="cellIs" dxfId="61" priority="83" operator="between">
      <formula>3.5</formula>
      <formula>5.9</formula>
    </cfRule>
    <cfRule type="cellIs" dxfId="60" priority="84" operator="between">
      <formula>0.9</formula>
      <formula>3.49</formula>
    </cfRule>
  </conditionalFormatting>
  <conditionalFormatting sqref="K23">
    <cfRule type="cellIs" dxfId="59" priority="79" operator="greaterThan">
      <formula>5.91</formula>
    </cfRule>
    <cfRule type="cellIs" dxfId="58" priority="80" operator="between">
      <formula>3.5</formula>
      <formula>5.9</formula>
    </cfRule>
    <cfRule type="cellIs" dxfId="57" priority="81" operator="between">
      <formula>0.9</formula>
      <formula>3.49</formula>
    </cfRule>
  </conditionalFormatting>
  <conditionalFormatting sqref="K25">
    <cfRule type="cellIs" dxfId="56" priority="76" operator="greaterThan">
      <formula>5.91</formula>
    </cfRule>
    <cfRule type="cellIs" dxfId="55" priority="77" operator="between">
      <formula>3.5</formula>
      <formula>5.9</formula>
    </cfRule>
    <cfRule type="cellIs" dxfId="54" priority="78" operator="between">
      <formula>0.9</formula>
      <formula>3.49</formula>
    </cfRule>
  </conditionalFormatting>
  <conditionalFormatting sqref="K28">
    <cfRule type="cellIs" dxfId="53" priority="64" operator="greaterThan">
      <formula>5.91</formula>
    </cfRule>
    <cfRule type="cellIs" dxfId="52" priority="65" operator="between">
      <formula>3.5</formula>
      <formula>5.9</formula>
    </cfRule>
    <cfRule type="cellIs" dxfId="51" priority="66" operator="between">
      <formula>0.9</formula>
      <formula>3.49</formula>
    </cfRule>
  </conditionalFormatting>
  <conditionalFormatting sqref="K29">
    <cfRule type="cellIs" dxfId="50" priority="61" operator="greaterThan">
      <formula>5.91</formula>
    </cfRule>
    <cfRule type="cellIs" dxfId="49" priority="62" operator="between">
      <formula>3.5</formula>
      <formula>5.9</formula>
    </cfRule>
    <cfRule type="cellIs" dxfId="48" priority="63" operator="between">
      <formula>0.9</formula>
      <formula>3.49</formula>
    </cfRule>
  </conditionalFormatting>
  <conditionalFormatting sqref="H19:H21 H24 H26:H27">
    <cfRule type="cellIs" dxfId="47" priority="37" operator="greaterThan">
      <formula>5.91</formula>
    </cfRule>
    <cfRule type="cellIs" dxfId="46" priority="38" operator="between">
      <formula>3.5</formula>
      <formula>5.9</formula>
    </cfRule>
    <cfRule type="cellIs" dxfId="45" priority="39" operator="between">
      <formula>0.9</formula>
      <formula>3.49</formula>
    </cfRule>
  </conditionalFormatting>
  <conditionalFormatting sqref="H22">
    <cfRule type="cellIs" dxfId="44" priority="34" operator="greaterThan">
      <formula>5.91</formula>
    </cfRule>
    <cfRule type="cellIs" dxfId="43" priority="35" operator="between">
      <formula>3.5</formula>
      <formula>5.9</formula>
    </cfRule>
    <cfRule type="cellIs" dxfId="42" priority="36" operator="between">
      <formula>0.9</formula>
      <formula>3.49</formula>
    </cfRule>
  </conditionalFormatting>
  <conditionalFormatting sqref="H23">
    <cfRule type="cellIs" dxfId="41" priority="31" operator="greaterThan">
      <formula>5.91</formula>
    </cfRule>
    <cfRule type="cellIs" dxfId="40" priority="32" operator="between">
      <formula>3.5</formula>
      <formula>5.9</formula>
    </cfRule>
    <cfRule type="cellIs" dxfId="39" priority="33" operator="between">
      <formula>0.9</formula>
      <formula>3.49</formula>
    </cfRule>
  </conditionalFormatting>
  <conditionalFormatting sqref="H25">
    <cfRule type="cellIs" dxfId="38" priority="28" operator="greaterThan">
      <formula>5.91</formula>
    </cfRule>
    <cfRule type="cellIs" dxfId="37" priority="29" operator="between">
      <formula>3.5</formula>
      <formula>5.9</formula>
    </cfRule>
    <cfRule type="cellIs" dxfId="36" priority="30" operator="between">
      <formula>0.9</formula>
      <formula>3.49</formula>
    </cfRule>
  </conditionalFormatting>
  <conditionalFormatting sqref="H28">
    <cfRule type="cellIs" dxfId="35" priority="25" operator="greaterThan">
      <formula>5.91</formula>
    </cfRule>
    <cfRule type="cellIs" dxfId="34" priority="26" operator="between">
      <formula>3.5</formula>
      <formula>5.9</formula>
    </cfRule>
    <cfRule type="cellIs" dxfId="33" priority="27" operator="between">
      <formula>0.9</formula>
      <formula>3.49</formula>
    </cfRule>
  </conditionalFormatting>
  <conditionalFormatting sqref="H29">
    <cfRule type="cellIs" dxfId="32" priority="22" operator="greaterThan">
      <formula>5.91</formula>
    </cfRule>
    <cfRule type="cellIs" dxfId="31" priority="23" operator="between">
      <formula>3.5</formula>
      <formula>5.9</formula>
    </cfRule>
    <cfRule type="cellIs" dxfId="30" priority="24" operator="between">
      <formula>0.9</formula>
      <formula>3.49</formula>
    </cfRule>
  </conditionalFormatting>
  <conditionalFormatting sqref="O29">
    <cfRule type="cellIs" dxfId="29" priority="1" operator="greaterThan">
      <formula>5.91</formula>
    </cfRule>
    <cfRule type="cellIs" dxfId="28" priority="2" operator="between">
      <formula>3.5</formula>
      <formula>5.9</formula>
    </cfRule>
    <cfRule type="cellIs" dxfId="27" priority="3" operator="between">
      <formula>0.9</formula>
      <formula>3.49</formula>
    </cfRule>
  </conditionalFormatting>
  <conditionalFormatting sqref="O19:O21 O24 O26:O27">
    <cfRule type="cellIs" dxfId="26" priority="19" operator="greaterThan">
      <formula>5.91</formula>
    </cfRule>
    <cfRule type="cellIs" dxfId="25" priority="20" operator="between">
      <formula>3.5</formula>
      <formula>5.9</formula>
    </cfRule>
    <cfRule type="cellIs" dxfId="24" priority="21" operator="between">
      <formula>0.9</formula>
      <formula>3.49</formula>
    </cfRule>
  </conditionalFormatting>
  <conditionalFormatting sqref="O22">
    <cfRule type="cellIs" dxfId="23" priority="13" operator="greaterThan">
      <formula>5.91</formula>
    </cfRule>
    <cfRule type="cellIs" dxfId="22" priority="14" operator="between">
      <formula>3.5</formula>
      <formula>5.9</formula>
    </cfRule>
    <cfRule type="cellIs" dxfId="21" priority="15" operator="between">
      <formula>0.9</formula>
      <formula>3.49</formula>
    </cfRule>
  </conditionalFormatting>
  <conditionalFormatting sqref="O23">
    <cfRule type="cellIs" dxfId="20" priority="10" operator="greaterThan">
      <formula>5.91</formula>
    </cfRule>
    <cfRule type="cellIs" dxfId="19" priority="11" operator="between">
      <formula>3.5</formula>
      <formula>5.9</formula>
    </cfRule>
    <cfRule type="cellIs" dxfId="18" priority="12" operator="between">
      <formula>0.9</formula>
      <formula>3.49</formula>
    </cfRule>
  </conditionalFormatting>
  <conditionalFormatting sqref="O25">
    <cfRule type="cellIs" dxfId="17" priority="7" operator="greaterThan">
      <formula>5.91</formula>
    </cfRule>
    <cfRule type="cellIs" dxfId="16" priority="8" operator="between">
      <formula>3.5</formula>
      <formula>5.9</formula>
    </cfRule>
    <cfRule type="cellIs" dxfId="15" priority="9" operator="between">
      <formula>0.9</formula>
      <formula>3.49</formula>
    </cfRule>
  </conditionalFormatting>
  <conditionalFormatting sqref="O28">
    <cfRule type="cellIs" dxfId="14" priority="4" operator="greaterThan">
      <formula>5.91</formula>
    </cfRule>
    <cfRule type="cellIs" dxfId="13" priority="5" operator="between">
      <formula>3.5</formula>
      <formula>5.9</formula>
    </cfRule>
    <cfRule type="cellIs" dxfId="12" priority="6"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13</xdr:col>
                    <xdr:colOff>47625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F19:G29 I19:J29 M19:N29</xm:sqref>
        </x14:dataValidation>
        <x14:dataValidation type="list" allowBlank="1" showInputMessage="1" showErrorMessage="1" xr:uid="{DA767999-B250-4A89-85C1-162C34E3B701}">
          <x14:formula1>
            <xm:f>Hazard_Defense_Code!$A$77:$A$186</xm:f>
          </x14:formula1>
          <xm:sqref>L19:L29</xm:sqref>
        </x14:dataValidation>
        <x14:dataValidation type="list" allowBlank="1" showInputMessage="1" showErrorMessage="1" xr:uid="{6D4ED0D4-47CA-4089-91E7-77A2546EBD2F}">
          <x14:formula1>
            <xm:f>Hazard_Defense_Code!$A$3:$A$71</xm:f>
          </x14:formula1>
          <xm:sqref>D19:D29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26" t="s">
        <v>103</v>
      </c>
      <c r="C2" s="25" t="s">
        <v>104</v>
      </c>
      <c r="D2" s="24" t="s">
        <v>105</v>
      </c>
      <c r="E2" s="24" t="s">
        <v>106</v>
      </c>
      <c r="F2" s="24" t="s">
        <v>107</v>
      </c>
      <c r="G2" s="24" t="s">
        <v>108</v>
      </c>
      <c r="H2" s="24" t="s">
        <v>109</v>
      </c>
    </row>
    <row r="3" spans="1:8" ht="108.75" customHeight="1">
      <c r="A3" s="2"/>
      <c r="B3" s="20" t="s">
        <v>110</v>
      </c>
      <c r="C3" s="19" t="s">
        <v>30</v>
      </c>
      <c r="D3" s="18" t="s">
        <v>111</v>
      </c>
      <c r="E3" s="23" t="s">
        <v>112</v>
      </c>
      <c r="F3" s="18" t="s">
        <v>113</v>
      </c>
      <c r="G3" s="18" t="s">
        <v>114</v>
      </c>
      <c r="H3" s="18" t="s">
        <v>115</v>
      </c>
    </row>
    <row r="4" spans="1:8" ht="119.25" customHeight="1">
      <c r="A4" s="2"/>
      <c r="B4" s="20" t="s">
        <v>116</v>
      </c>
      <c r="C4" s="19" t="s">
        <v>29</v>
      </c>
      <c r="D4" s="18" t="s">
        <v>117</v>
      </c>
      <c r="E4" s="18" t="s">
        <v>118</v>
      </c>
      <c r="F4" s="18" t="s">
        <v>119</v>
      </c>
      <c r="G4" s="18" t="s">
        <v>120</v>
      </c>
      <c r="H4" s="18" t="s">
        <v>121</v>
      </c>
    </row>
    <row r="5" spans="1:8" ht="119.25" customHeight="1">
      <c r="A5" s="2"/>
      <c r="B5" s="259" t="s">
        <v>122</v>
      </c>
      <c r="C5" s="21" t="s">
        <v>28</v>
      </c>
      <c r="D5" s="18" t="s">
        <v>123</v>
      </c>
      <c r="E5" s="18" t="s">
        <v>124</v>
      </c>
      <c r="F5" s="22" t="s">
        <v>125</v>
      </c>
      <c r="G5" s="18" t="s">
        <v>126</v>
      </c>
      <c r="H5" s="18" t="s">
        <v>127</v>
      </c>
    </row>
    <row r="6" spans="1:8" ht="107.25" customHeight="1">
      <c r="A6" s="2"/>
      <c r="B6" s="260"/>
      <c r="C6" s="21" t="s">
        <v>27</v>
      </c>
      <c r="D6" s="18" t="s">
        <v>128</v>
      </c>
      <c r="E6" s="18" t="s">
        <v>129</v>
      </c>
      <c r="F6" s="18" t="s">
        <v>130</v>
      </c>
      <c r="G6" s="18" t="s">
        <v>131</v>
      </c>
      <c r="H6" s="18" t="s">
        <v>132</v>
      </c>
    </row>
    <row r="7" spans="1:8" ht="108" customHeight="1">
      <c r="A7" s="2"/>
      <c r="B7" s="20" t="s">
        <v>133</v>
      </c>
      <c r="C7" s="19" t="s">
        <v>26</v>
      </c>
      <c r="D7" s="18" t="s">
        <v>134</v>
      </c>
      <c r="E7" s="18" t="s">
        <v>135</v>
      </c>
      <c r="F7" s="18" t="s">
        <v>136</v>
      </c>
      <c r="G7" s="18" t="s">
        <v>137</v>
      </c>
      <c r="H7" s="18" t="s">
        <v>138</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3" customWidth="1"/>
    <col min="2" max="2" width="26.85546875" style="3" customWidth="1"/>
    <col min="3" max="3" width="24.85546875" style="3" customWidth="1"/>
    <col min="4" max="4" width="28.5703125" style="3" customWidth="1"/>
    <col min="5" max="5" width="27" style="3" customWidth="1"/>
    <col min="6" max="6" width="5.5703125" style="4" customWidth="1"/>
    <col min="7" max="16384" width="8" style="3" hidden="1"/>
  </cols>
  <sheetData>
    <row r="1" spans="1:5" ht="15.75" thickBot="1">
      <c r="A1" s="34" t="s">
        <v>139</v>
      </c>
    </row>
    <row r="2" spans="1:5" ht="15.75" thickBot="1">
      <c r="A2" s="14"/>
      <c r="B2" s="17" t="s">
        <v>140</v>
      </c>
      <c r="C2" s="16" t="s">
        <v>20</v>
      </c>
      <c r="D2" s="15" t="s">
        <v>21</v>
      </c>
      <c r="E2" s="16" t="s">
        <v>141</v>
      </c>
    </row>
    <row r="3" spans="1:5" ht="15.75" thickBot="1">
      <c r="A3" s="14" t="s">
        <v>142</v>
      </c>
      <c r="B3" s="13" t="s">
        <v>143</v>
      </c>
      <c r="C3" s="9">
        <f>VLOOKUP(B3,Hazard_Defense_Code!A1:C75,2,0)</f>
        <v>3</v>
      </c>
      <c r="D3" s="9">
        <f>VLOOKUP(B3,Hazard_Defense_Code!A1:C75,3,0)</f>
        <v>4</v>
      </c>
      <c r="E3" s="9">
        <f t="shared" ref="E3:E9" si="0">C3+D3-1</f>
        <v>6</v>
      </c>
    </row>
    <row r="4" spans="1:5" ht="15.75" thickBot="1">
      <c r="A4" s="30" t="s">
        <v>144</v>
      </c>
      <c r="B4" s="13" t="s">
        <v>145</v>
      </c>
      <c r="C4" s="9">
        <f>VLOOKUP(B4,Hazard_Defense_Code!A1:C75,2,0)</f>
        <v>2</v>
      </c>
      <c r="D4" s="9">
        <f>VLOOKUP(B4,Hazard_Defense_Code!A1:C75,3,0)</f>
        <v>4</v>
      </c>
      <c r="E4" s="9">
        <f t="shared" si="0"/>
        <v>5</v>
      </c>
    </row>
    <row r="5" spans="1:5" ht="15.75" thickBot="1">
      <c r="A5" s="30" t="s">
        <v>146</v>
      </c>
      <c r="B5" s="13" t="s">
        <v>147</v>
      </c>
      <c r="C5" s="9">
        <f>VLOOKUP(B5,Hazard_Defense_Code!A1:C75,2,0)</f>
        <v>2</v>
      </c>
      <c r="D5" s="9">
        <f>VLOOKUP(B5,Hazard_Defense_Code!A1:C75,3,0)</f>
        <v>4</v>
      </c>
      <c r="E5" s="9">
        <f t="shared" si="0"/>
        <v>5</v>
      </c>
    </row>
    <row r="6" spans="1:5" ht="15.75" thickBot="1">
      <c r="A6" s="31" t="s">
        <v>148</v>
      </c>
      <c r="B6" s="13" t="s">
        <v>149</v>
      </c>
      <c r="C6" s="9">
        <f>VLOOKUP(B6,Hazard_Defense_Code!A1:C75,2,0)</f>
        <v>1</v>
      </c>
      <c r="D6" s="9">
        <f>VLOOKUP(B6,Hazard_Defense_Code!A1:C75,3,0)</f>
        <v>5</v>
      </c>
      <c r="E6" s="9">
        <f t="shared" si="0"/>
        <v>5</v>
      </c>
    </row>
    <row r="7" spans="1:5" ht="14.25" hidden="1" customHeight="1" thickBot="1">
      <c r="A7" s="12"/>
      <c r="B7" s="13" t="s">
        <v>150</v>
      </c>
      <c r="C7" s="11">
        <f>MAX(C3:C6)</f>
        <v>3</v>
      </c>
      <c r="D7" s="11">
        <f>MAX(D3:D6)</f>
        <v>5</v>
      </c>
      <c r="E7" s="9">
        <f t="shared" si="0"/>
        <v>7</v>
      </c>
    </row>
    <row r="8" spans="1:5" ht="30.75" hidden="1" customHeight="1" thickBot="1">
      <c r="B8" s="13" t="s">
        <v>150</v>
      </c>
      <c r="C8" s="10">
        <f>MEDIAN(C3:C6)</f>
        <v>2</v>
      </c>
      <c r="D8" s="10">
        <f>MEDIAN(D3:D6)</f>
        <v>4</v>
      </c>
      <c r="E8" s="9">
        <f t="shared" si="0"/>
        <v>5</v>
      </c>
    </row>
    <row r="9" spans="1:5" ht="15.75" thickBot="1">
      <c r="A9" s="261" t="s">
        <v>151</v>
      </c>
      <c r="B9" s="262"/>
      <c r="C9" s="8">
        <f>AVERAGE(C7:C8)</f>
        <v>2.5</v>
      </c>
      <c r="D9" s="7">
        <f>AVERAGE(D7:D8)</f>
        <v>4.5</v>
      </c>
      <c r="E9" s="8">
        <f t="shared" si="0"/>
        <v>6</v>
      </c>
    </row>
    <row r="10" spans="1:5" s="4" customFormat="1" ht="15.75" thickBot="1"/>
    <row r="11" spans="1:5" s="4" customFormat="1" ht="15.75" thickBot="1">
      <c r="A11" s="34" t="s">
        <v>152</v>
      </c>
    </row>
    <row r="12" spans="1:5" ht="34.5" customHeight="1" thickBot="1">
      <c r="A12" s="32" t="s">
        <v>142</v>
      </c>
      <c r="B12" s="6" t="s">
        <v>143</v>
      </c>
      <c r="C12" s="263" t="str">
        <f>VLOOKUP(B12,Hazard_Defense_Code!A1:E76,5,FALSE)</f>
        <v>Lift Plans &amp; POWLA (P&amp;S Plan Tab V) should be in place and communicated before commencing lifting operations</v>
      </c>
      <c r="D12" s="264"/>
      <c r="E12" s="4"/>
    </row>
    <row r="13" spans="1:5" ht="34.5" customHeight="1" thickBot="1">
      <c r="A13" s="32" t="s">
        <v>144</v>
      </c>
      <c r="B13" s="6" t="s">
        <v>147</v>
      </c>
      <c r="C13" s="263" t="str">
        <f>VLOOKUP(B13,Hazard_Defense_Code!A1:E75,5,FALSE)</f>
        <v>POWRA (P&amp;S Plan Tab S) should be used to mitigate risk from pinch point and line of fire hazards.  Peering checking, tool holders and careful hand/body part placement should be deployed continuously where risk exists.</v>
      </c>
      <c r="D13" s="264"/>
      <c r="E13" s="4"/>
    </row>
    <row r="14" spans="1:5" ht="34.5" customHeight="1" thickBot="1">
      <c r="A14" s="32" t="s">
        <v>146</v>
      </c>
      <c r="B14" s="6" t="s">
        <v>153</v>
      </c>
      <c r="C14" s="263" t="str">
        <f>VLOOKUP(B14,Hazard_Defense_Code!A1:E75,5,FALSE)</f>
        <v>Where a secure certified (e.g. Scaff tag) elevated work platform cannot be put in place then a safety harness with 100% tie-off to a secure structure must be used.</v>
      </c>
      <c r="D14" s="264"/>
      <c r="E14" s="4"/>
    </row>
    <row r="15" spans="1:5" ht="34.5" customHeight="1" thickBot="1">
      <c r="A15" s="33" t="s">
        <v>148</v>
      </c>
      <c r="B15" s="32" t="s">
        <v>153</v>
      </c>
      <c r="C15" s="263" t="str">
        <f>VLOOKUP(B15,Hazard_Defense_Code!A1:E75,5,FALSE)</f>
        <v>Where a secure certified (e.g. Scaff tag) elevated work platform cannot be put in place then a safety harness with 100% tie-off to a secure structure must be used.</v>
      </c>
      <c r="D15" s="264"/>
      <c r="E15" s="4"/>
    </row>
    <row r="16" spans="1:5">
      <c r="A16" s="4"/>
      <c r="B16" s="4"/>
      <c r="C16" s="4"/>
      <c r="D16" s="4"/>
      <c r="E16" s="4"/>
    </row>
    <row r="17" spans="1:5">
      <c r="A17" s="4"/>
      <c r="B17" s="4"/>
      <c r="C17" s="4"/>
      <c r="D17" s="4"/>
      <c r="E17" s="4"/>
    </row>
    <row r="18" spans="1:5">
      <c r="A18" s="4"/>
      <c r="B18" s="4"/>
      <c r="C18" s="35"/>
      <c r="D18" s="35"/>
      <c r="E18" s="5"/>
    </row>
    <row r="19" spans="1:5">
      <c r="A19" s="4"/>
      <c r="B19" s="4"/>
      <c r="C19" s="4"/>
      <c r="D19" s="4"/>
      <c r="E19" s="4"/>
    </row>
    <row r="20" spans="1:5">
      <c r="A20" s="4"/>
      <c r="B20" s="4"/>
      <c r="C20" s="4"/>
      <c r="D20" s="4"/>
      <c r="E20" s="4"/>
    </row>
    <row r="21" spans="1:5">
      <c r="A21" s="4"/>
      <c r="B21" s="4"/>
      <c r="C21" s="4"/>
      <c r="D21" s="4"/>
    </row>
    <row r="22" spans="1:5">
      <c r="A22" s="4"/>
      <c r="B22" s="4"/>
      <c r="C22" s="4"/>
      <c r="D22" s="4"/>
      <c r="E22" s="4"/>
    </row>
    <row r="23" spans="1:5">
      <c r="A23" s="4"/>
      <c r="B23" s="4"/>
      <c r="C23" s="4"/>
      <c r="D23" s="4"/>
      <c r="E23" s="4"/>
    </row>
    <row r="24" spans="1:5">
      <c r="A24" s="4"/>
      <c r="B24" s="4"/>
      <c r="C24" s="4"/>
      <c r="D24" s="4"/>
      <c r="E24" s="4"/>
    </row>
    <row r="25" spans="1:5">
      <c r="A25" s="4"/>
      <c r="B25" s="4"/>
      <c r="C25" s="4"/>
      <c r="D25" s="4"/>
      <c r="E25" s="4"/>
    </row>
    <row r="26" spans="1:5">
      <c r="A26" s="4"/>
      <c r="B26" s="4"/>
      <c r="C26" s="4"/>
      <c r="D26" s="4"/>
      <c r="E26" s="4"/>
    </row>
    <row r="27" spans="1:5">
      <c r="A27" s="4"/>
      <c r="B27" s="4"/>
      <c r="C27" s="4"/>
      <c r="D27" s="4"/>
      <c r="E27" s="4"/>
    </row>
    <row r="28" spans="1:5">
      <c r="A28" s="4"/>
      <c r="B28" s="4"/>
      <c r="C28" s="4"/>
      <c r="D28" s="4"/>
      <c r="E28" s="4"/>
    </row>
    <row r="29" spans="1:5">
      <c r="A29" s="4"/>
      <c r="B29" s="4"/>
      <c r="C29" s="4"/>
      <c r="D29" s="4"/>
      <c r="E29" s="4"/>
    </row>
    <row r="30" spans="1:5">
      <c r="A30" s="4"/>
      <c r="B30" s="4"/>
      <c r="C30" s="4"/>
      <c r="D30" s="4"/>
      <c r="E30" s="4"/>
    </row>
    <row r="31" spans="1:5">
      <c r="A31" s="4"/>
      <c r="B31" s="4"/>
      <c r="C31" s="4"/>
      <c r="D31" s="4"/>
      <c r="E31" s="4"/>
    </row>
    <row r="32" spans="1:5">
      <c r="A32" s="4"/>
      <c r="B32" s="4"/>
      <c r="C32" s="4"/>
      <c r="D32" s="4"/>
      <c r="E32" s="4"/>
    </row>
    <row r="33" spans="1:5">
      <c r="A33" s="4"/>
      <c r="B33" s="4"/>
      <c r="C33" s="4"/>
      <c r="D33" s="4"/>
      <c r="E33" s="4"/>
    </row>
    <row r="34" spans="1:5">
      <c r="A34" s="4"/>
      <c r="B34" s="4"/>
      <c r="C34" s="4"/>
      <c r="D34" s="4"/>
      <c r="E34" s="4"/>
    </row>
    <row r="35" spans="1:5">
      <c r="A35" s="4"/>
      <c r="B35" s="4"/>
      <c r="C35" s="4"/>
      <c r="D35" s="4"/>
      <c r="E35" s="4"/>
    </row>
  </sheetData>
  <mergeCells count="5">
    <mergeCell ref="A9:B9"/>
    <mergeCell ref="C12:D12"/>
    <mergeCell ref="C13:D13"/>
    <mergeCell ref="C14:D14"/>
    <mergeCell ref="C15:D15"/>
  </mergeCells>
  <conditionalFormatting sqref="E3:E9">
    <cfRule type="cellIs" dxfId="11" priority="1" stopIfTrue="1" operator="between">
      <formula>3.1</formula>
      <formula>5.9</formula>
    </cfRule>
    <cfRule type="cellIs" dxfId="10" priority="2" operator="greaterThan">
      <formula>5</formula>
    </cfRule>
    <cfRule type="cellIs" dxfId="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Hazard_Defense_Code!$A$2:$A$71</xm:f>
          </x14:formula1>
          <xm:sqref>B12:B15 B3:B8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27" customWidth="1"/>
    <col min="14" max="16384" width="8" style="27" hidden="1"/>
  </cols>
  <sheetData>
    <row r="1" spans="1:13">
      <c r="A1" s="28"/>
      <c r="B1" s="28"/>
      <c r="C1" s="28"/>
      <c r="D1" s="28"/>
      <c r="E1" s="28"/>
      <c r="F1" s="28"/>
      <c r="G1" s="28"/>
      <c r="H1" s="28"/>
      <c r="I1" s="28"/>
      <c r="J1" s="28"/>
      <c r="K1" s="28"/>
      <c r="L1" s="28"/>
      <c r="M1" s="28"/>
    </row>
    <row r="2" spans="1:13" ht="21" customHeight="1">
      <c r="A2" s="28"/>
      <c r="B2" s="29" t="s">
        <v>154</v>
      </c>
      <c r="C2" s="28"/>
      <c r="D2" s="28"/>
      <c r="E2" s="28"/>
      <c r="F2" s="28"/>
      <c r="G2" s="28"/>
      <c r="H2" s="28"/>
      <c r="I2" s="28"/>
      <c r="J2" s="28"/>
      <c r="K2" s="28"/>
      <c r="L2" s="28"/>
      <c r="M2" s="28"/>
    </row>
    <row r="3" spans="1:13" ht="12.75" customHeight="1">
      <c r="A3" s="28"/>
      <c r="B3" s="265" t="s">
        <v>155</v>
      </c>
      <c r="C3" s="265"/>
      <c r="D3" s="265"/>
      <c r="E3" s="265"/>
      <c r="F3" s="265"/>
      <c r="G3" s="265"/>
      <c r="H3" s="265"/>
      <c r="I3" s="265"/>
      <c r="J3" s="265"/>
      <c r="K3" s="265"/>
      <c r="L3" s="28"/>
      <c r="M3" s="28"/>
    </row>
    <row r="4" spans="1:13">
      <c r="A4" s="28"/>
      <c r="B4" s="265"/>
      <c r="C4" s="265"/>
      <c r="D4" s="265"/>
      <c r="E4" s="265"/>
      <c r="F4" s="265"/>
      <c r="G4" s="265"/>
      <c r="H4" s="265"/>
      <c r="I4" s="265"/>
      <c r="J4" s="265"/>
      <c r="K4" s="265"/>
      <c r="L4" s="28"/>
      <c r="M4" s="28"/>
    </row>
    <row r="5" spans="1:13">
      <c r="A5" s="28"/>
      <c r="B5" s="265"/>
      <c r="C5" s="265"/>
      <c r="D5" s="265"/>
      <c r="E5" s="265"/>
      <c r="F5" s="265"/>
      <c r="G5" s="265"/>
      <c r="H5" s="265"/>
      <c r="I5" s="265"/>
      <c r="J5" s="265"/>
      <c r="K5" s="265"/>
      <c r="L5" s="28"/>
      <c r="M5" s="28"/>
    </row>
    <row r="6" spans="1:13">
      <c r="A6" s="28"/>
      <c r="B6" s="265"/>
      <c r="C6" s="265"/>
      <c r="D6" s="265"/>
      <c r="E6" s="265"/>
      <c r="F6" s="265"/>
      <c r="G6" s="265"/>
      <c r="H6" s="265"/>
      <c r="I6" s="265"/>
      <c r="J6" s="265"/>
      <c r="K6" s="265"/>
      <c r="L6" s="28"/>
      <c r="M6" s="28"/>
    </row>
    <row r="7" spans="1:13">
      <c r="A7" s="28"/>
      <c r="B7" s="265"/>
      <c r="C7" s="265"/>
      <c r="D7" s="265"/>
      <c r="E7" s="265"/>
      <c r="F7" s="265"/>
      <c r="G7" s="265"/>
      <c r="H7" s="265"/>
      <c r="I7" s="265"/>
      <c r="J7" s="265"/>
      <c r="K7" s="265"/>
      <c r="L7" s="28"/>
      <c r="M7" s="28"/>
    </row>
    <row r="8" spans="1:13">
      <c r="A8" s="28"/>
      <c r="B8" s="265"/>
      <c r="C8" s="265"/>
      <c r="D8" s="265"/>
      <c r="E8" s="265"/>
      <c r="F8" s="265"/>
      <c r="G8" s="265"/>
      <c r="H8" s="265"/>
      <c r="I8" s="265"/>
      <c r="J8" s="265"/>
      <c r="K8" s="265"/>
      <c r="L8" s="28"/>
      <c r="M8" s="28"/>
    </row>
    <row r="9" spans="1:13">
      <c r="A9" s="28"/>
      <c r="B9" s="265"/>
      <c r="C9" s="265"/>
      <c r="D9" s="265"/>
      <c r="E9" s="265"/>
      <c r="F9" s="265"/>
      <c r="G9" s="265"/>
      <c r="H9" s="265"/>
      <c r="I9" s="265"/>
      <c r="J9" s="265"/>
      <c r="K9" s="265"/>
      <c r="L9" s="28"/>
      <c r="M9" s="28"/>
    </row>
    <row r="10" spans="1:13" ht="33" customHeight="1">
      <c r="A10" s="28"/>
      <c r="B10" s="265"/>
      <c r="C10" s="265"/>
      <c r="D10" s="265"/>
      <c r="E10" s="265"/>
      <c r="F10" s="265"/>
      <c r="G10" s="265"/>
      <c r="H10" s="265"/>
      <c r="I10" s="265"/>
      <c r="J10" s="265"/>
      <c r="K10" s="265"/>
      <c r="L10" s="28"/>
      <c r="M10" s="28"/>
    </row>
    <row r="11" spans="1:13">
      <c r="A11" s="28"/>
      <c r="B11" s="28"/>
      <c r="C11" s="28"/>
      <c r="D11" s="28"/>
      <c r="E11" s="28"/>
      <c r="F11" s="28"/>
      <c r="G11" s="28"/>
      <c r="H11" s="28"/>
      <c r="I11" s="28"/>
      <c r="J11" s="28"/>
      <c r="K11" s="28"/>
      <c r="L11" s="28"/>
      <c r="M11" s="28"/>
    </row>
    <row r="12" spans="1:13">
      <c r="A12" s="28"/>
      <c r="B12" s="28"/>
      <c r="C12" s="28"/>
      <c r="D12" s="28"/>
      <c r="E12" s="28"/>
      <c r="F12" s="28"/>
      <c r="G12" s="28"/>
      <c r="H12" s="28"/>
      <c r="I12" s="28"/>
      <c r="J12" s="28"/>
      <c r="K12" s="28"/>
      <c r="L12" s="28"/>
      <c r="M12" s="28"/>
    </row>
    <row r="13" spans="1:13">
      <c r="A13" s="28"/>
      <c r="B13" s="28"/>
      <c r="C13" s="28"/>
      <c r="D13" s="28"/>
      <c r="E13" s="28"/>
      <c r="F13" s="28"/>
      <c r="G13" s="28"/>
      <c r="H13" s="28"/>
      <c r="I13" s="28"/>
      <c r="J13" s="28"/>
      <c r="K13" s="28"/>
      <c r="L13" s="28"/>
      <c r="M13" s="28"/>
    </row>
  </sheetData>
  <mergeCells count="1">
    <mergeCell ref="B3:K10"/>
  </mergeCells>
  <pageMargins left="0.7" right="0.7" top="0.75" bottom="0.75" header="0.3" footer="0.3"/>
  <pageSetup paperSize="9" orientation="portrait" horizontalDpi="4294967292"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186"/>
  <sheetViews>
    <sheetView topLeftCell="A13" workbookViewId="0">
      <selection activeCell="H22" sqref="H22"/>
    </sheetView>
  </sheetViews>
  <sheetFormatPr defaultColWidth="9.140625" defaultRowHeight="15"/>
  <cols>
    <col min="1" max="1" width="42.28515625" style="88" customWidth="1"/>
    <col min="2" max="4" width="24.28515625" style="88" customWidth="1"/>
    <col min="5" max="5" width="81.85546875" style="90" customWidth="1"/>
    <col min="6" max="9" width="9.140625" style="88"/>
    <col min="10" max="10" width="29.140625" style="88" customWidth="1"/>
    <col min="11" max="11" width="39.42578125" style="88" customWidth="1"/>
    <col min="12" max="14" width="53.28515625" style="88" customWidth="1"/>
    <col min="15" max="15" width="38.7109375" style="88" customWidth="1"/>
    <col min="16" max="16" width="42.85546875" style="88" customWidth="1"/>
    <col min="17" max="17" width="34.5703125" style="88" customWidth="1"/>
    <col min="18" max="16384" width="9.140625" style="88"/>
  </cols>
  <sheetData>
    <row r="1" spans="1:17">
      <c r="A1" s="81" t="s">
        <v>156</v>
      </c>
      <c r="B1" s="86" t="s">
        <v>20</v>
      </c>
      <c r="C1" s="86" t="s">
        <v>21</v>
      </c>
      <c r="D1" s="86" t="s">
        <v>157</v>
      </c>
      <c r="E1" s="87" t="s">
        <v>158</v>
      </c>
      <c r="F1" s="82">
        <v>5</v>
      </c>
      <c r="J1" s="89"/>
      <c r="K1" s="89"/>
      <c r="L1" s="89"/>
      <c r="M1" s="89"/>
      <c r="N1" s="89" t="s">
        <v>159</v>
      </c>
      <c r="O1" s="89" t="s">
        <v>160</v>
      </c>
      <c r="P1" s="89" t="s">
        <v>161</v>
      </c>
      <c r="Q1" s="89" t="s">
        <v>162</v>
      </c>
    </row>
    <row r="2" spans="1:17">
      <c r="A2" s="86" t="s">
        <v>150</v>
      </c>
      <c r="B2" s="86">
        <v>1</v>
      </c>
      <c r="C2" s="86">
        <v>0</v>
      </c>
      <c r="D2" s="86">
        <f t="shared" ref="D2:D57" si="0">B2+C2-1</f>
        <v>0</v>
      </c>
      <c r="E2" s="87"/>
      <c r="F2" s="82">
        <v>4</v>
      </c>
    </row>
    <row r="3" spans="1:17">
      <c r="A3" s="86" t="s">
        <v>163</v>
      </c>
      <c r="B3" s="86">
        <v>2</v>
      </c>
      <c r="C3" s="86">
        <v>3</v>
      </c>
      <c r="D3" s="86">
        <f t="shared" si="0"/>
        <v>4</v>
      </c>
      <c r="E3" s="87" t="s">
        <v>164</v>
      </c>
      <c r="F3" s="82">
        <v>3</v>
      </c>
    </row>
    <row r="4" spans="1:17">
      <c r="A4" s="86" t="s">
        <v>165</v>
      </c>
      <c r="B4" s="86">
        <v>2</v>
      </c>
      <c r="C4" s="86">
        <v>2</v>
      </c>
      <c r="D4" s="86">
        <f t="shared" si="0"/>
        <v>3</v>
      </c>
      <c r="E4" s="87" t="s">
        <v>166</v>
      </c>
      <c r="F4" s="82">
        <v>2</v>
      </c>
    </row>
    <row r="5" spans="1:17" ht="30">
      <c r="A5" s="92" t="s">
        <v>167</v>
      </c>
      <c r="B5" s="86">
        <v>4</v>
      </c>
      <c r="C5" s="86">
        <v>1</v>
      </c>
      <c r="D5" s="86">
        <f t="shared" si="0"/>
        <v>4</v>
      </c>
      <c r="E5" s="87" t="s">
        <v>168</v>
      </c>
      <c r="F5" s="82">
        <v>1</v>
      </c>
    </row>
    <row r="6" spans="1:17">
      <c r="A6" s="86" t="s">
        <v>169</v>
      </c>
      <c r="B6" s="86">
        <v>4</v>
      </c>
      <c r="C6" s="86">
        <v>1</v>
      </c>
      <c r="D6" s="86">
        <f t="shared" si="0"/>
        <v>4</v>
      </c>
      <c r="E6" s="87" t="s">
        <v>170</v>
      </c>
      <c r="F6" s="83"/>
    </row>
    <row r="7" spans="1:17" ht="45">
      <c r="A7" s="86" t="s">
        <v>171</v>
      </c>
      <c r="B7" s="86">
        <v>3</v>
      </c>
      <c r="C7" s="86">
        <v>3</v>
      </c>
      <c r="D7" s="86">
        <f t="shared" si="0"/>
        <v>5</v>
      </c>
      <c r="E7" s="87" t="s">
        <v>172</v>
      </c>
      <c r="F7" s="83"/>
    </row>
    <row r="8" spans="1:17" ht="45">
      <c r="A8" s="86" t="s">
        <v>173</v>
      </c>
      <c r="B8" s="86">
        <v>4</v>
      </c>
      <c r="C8" s="86">
        <v>3</v>
      </c>
      <c r="D8" s="86">
        <f t="shared" si="0"/>
        <v>6</v>
      </c>
      <c r="E8" s="87" t="s">
        <v>174</v>
      </c>
      <c r="F8" s="83"/>
    </row>
    <row r="9" spans="1:17">
      <c r="A9" s="86" t="s">
        <v>175</v>
      </c>
      <c r="B9" s="86">
        <v>4</v>
      </c>
      <c r="C9" s="86">
        <v>4</v>
      </c>
      <c r="D9" s="86">
        <f t="shared" si="0"/>
        <v>7</v>
      </c>
      <c r="E9" s="87"/>
      <c r="F9" s="83"/>
    </row>
    <row r="10" spans="1:17" ht="45">
      <c r="A10" s="86" t="s">
        <v>176</v>
      </c>
      <c r="B10" s="86">
        <v>1</v>
      </c>
      <c r="C10" s="86">
        <v>5</v>
      </c>
      <c r="D10" s="86">
        <f t="shared" si="0"/>
        <v>5</v>
      </c>
      <c r="E10" s="87" t="s">
        <v>177</v>
      </c>
      <c r="F10" s="83"/>
    </row>
    <row r="11" spans="1:17" ht="30">
      <c r="A11" s="86" t="s">
        <v>178</v>
      </c>
      <c r="B11" s="86">
        <v>2</v>
      </c>
      <c r="C11" s="86">
        <v>4</v>
      </c>
      <c r="D11" s="86">
        <f t="shared" si="0"/>
        <v>5</v>
      </c>
      <c r="E11" s="87" t="s">
        <v>179</v>
      </c>
      <c r="F11" s="83"/>
    </row>
    <row r="12" spans="1:17" ht="30">
      <c r="A12" s="86" t="s">
        <v>180</v>
      </c>
      <c r="B12" s="86">
        <v>4</v>
      </c>
      <c r="C12" s="86">
        <v>3</v>
      </c>
      <c r="D12" s="86">
        <f t="shared" si="0"/>
        <v>6</v>
      </c>
      <c r="E12" s="87" t="s">
        <v>181</v>
      </c>
      <c r="F12" s="83"/>
    </row>
    <row r="13" spans="1:17">
      <c r="A13" s="86" t="s">
        <v>182</v>
      </c>
      <c r="B13" s="86">
        <v>2</v>
      </c>
      <c r="C13" s="86">
        <v>1</v>
      </c>
      <c r="D13" s="86">
        <f t="shared" si="0"/>
        <v>2</v>
      </c>
      <c r="E13" s="87" t="s">
        <v>183</v>
      </c>
      <c r="F13" s="83"/>
    </row>
    <row r="14" spans="1:17" ht="30">
      <c r="A14" s="86" t="s">
        <v>184</v>
      </c>
      <c r="B14" s="86">
        <v>3</v>
      </c>
      <c r="C14" s="86">
        <v>3</v>
      </c>
      <c r="D14" s="86">
        <f t="shared" si="0"/>
        <v>5</v>
      </c>
      <c r="E14" s="87" t="s">
        <v>185</v>
      </c>
      <c r="F14" s="83"/>
    </row>
    <row r="15" spans="1:17" ht="30">
      <c r="A15" s="86" t="s">
        <v>186</v>
      </c>
      <c r="B15" s="86">
        <v>2</v>
      </c>
      <c r="C15" s="86">
        <v>4</v>
      </c>
      <c r="D15" s="86">
        <f t="shared" si="0"/>
        <v>5</v>
      </c>
      <c r="E15" s="87" t="s">
        <v>187</v>
      </c>
      <c r="F15" s="83"/>
    </row>
    <row r="16" spans="1:17" ht="30">
      <c r="A16" s="86" t="s">
        <v>188</v>
      </c>
      <c r="B16" s="86">
        <v>5</v>
      </c>
      <c r="C16" s="86">
        <v>1</v>
      </c>
      <c r="D16" s="86">
        <f t="shared" si="0"/>
        <v>5</v>
      </c>
      <c r="E16" s="87" t="s">
        <v>189</v>
      </c>
      <c r="F16" s="83"/>
    </row>
    <row r="17" spans="1:6">
      <c r="A17" s="86" t="s">
        <v>190</v>
      </c>
      <c r="B17" s="86">
        <v>3</v>
      </c>
      <c r="C17" s="86">
        <v>1</v>
      </c>
      <c r="D17" s="86">
        <f t="shared" si="0"/>
        <v>3</v>
      </c>
      <c r="E17" s="87" t="s">
        <v>191</v>
      </c>
      <c r="F17" s="83"/>
    </row>
    <row r="18" spans="1:6" ht="30">
      <c r="A18" s="86" t="s">
        <v>192</v>
      </c>
      <c r="B18" s="86">
        <v>1</v>
      </c>
      <c r="C18" s="86">
        <v>3</v>
      </c>
      <c r="D18" s="86">
        <f t="shared" si="0"/>
        <v>3</v>
      </c>
      <c r="E18" s="87" t="s">
        <v>193</v>
      </c>
      <c r="F18" s="83"/>
    </row>
    <row r="19" spans="1:6">
      <c r="A19" s="86" t="s">
        <v>194</v>
      </c>
      <c r="B19" s="86">
        <v>3</v>
      </c>
      <c r="C19" s="86">
        <v>2</v>
      </c>
      <c r="D19" s="86">
        <f t="shared" si="0"/>
        <v>4</v>
      </c>
      <c r="E19" s="87" t="s">
        <v>195</v>
      </c>
      <c r="F19" s="83"/>
    </row>
    <row r="20" spans="1:6" ht="45">
      <c r="A20" s="86" t="s">
        <v>196</v>
      </c>
      <c r="B20" s="86">
        <v>5</v>
      </c>
      <c r="C20" s="86">
        <v>1</v>
      </c>
      <c r="D20" s="86">
        <f t="shared" si="0"/>
        <v>5</v>
      </c>
      <c r="E20" s="87" t="s">
        <v>197</v>
      </c>
      <c r="F20" s="83"/>
    </row>
    <row r="21" spans="1:6" ht="30">
      <c r="A21" s="86" t="s">
        <v>198</v>
      </c>
      <c r="B21" s="86">
        <v>5</v>
      </c>
      <c r="C21" s="86">
        <v>2</v>
      </c>
      <c r="D21" s="86">
        <f t="shared" si="0"/>
        <v>6</v>
      </c>
      <c r="E21" s="87" t="s">
        <v>199</v>
      </c>
      <c r="F21" s="83"/>
    </row>
    <row r="22" spans="1:6" ht="45">
      <c r="A22" s="86" t="s">
        <v>200</v>
      </c>
      <c r="B22" s="86">
        <v>2</v>
      </c>
      <c r="C22" s="86">
        <v>3</v>
      </c>
      <c r="D22" s="86">
        <f t="shared" si="0"/>
        <v>4</v>
      </c>
      <c r="E22" s="87" t="s">
        <v>201</v>
      </c>
      <c r="F22" s="83"/>
    </row>
    <row r="23" spans="1:6">
      <c r="A23" s="86" t="s">
        <v>202</v>
      </c>
      <c r="B23" s="86">
        <v>4</v>
      </c>
      <c r="C23" s="86">
        <v>3</v>
      </c>
      <c r="D23" s="86">
        <f t="shared" si="0"/>
        <v>6</v>
      </c>
      <c r="E23" s="87" t="s">
        <v>203</v>
      </c>
      <c r="F23" s="83"/>
    </row>
    <row r="24" spans="1:6">
      <c r="A24" s="86" t="s">
        <v>204</v>
      </c>
      <c r="B24" s="86">
        <v>3</v>
      </c>
      <c r="C24" s="86">
        <v>4</v>
      </c>
      <c r="D24" s="86">
        <f t="shared" si="0"/>
        <v>6</v>
      </c>
      <c r="E24" s="87" t="s">
        <v>205</v>
      </c>
      <c r="F24" s="83"/>
    </row>
    <row r="25" spans="1:6">
      <c r="A25" s="86" t="s">
        <v>206</v>
      </c>
      <c r="B25" s="86">
        <v>2</v>
      </c>
      <c r="C25" s="86">
        <v>2</v>
      </c>
      <c r="D25" s="86">
        <f t="shared" si="0"/>
        <v>3</v>
      </c>
      <c r="E25" s="87" t="s">
        <v>207</v>
      </c>
      <c r="F25" s="83"/>
    </row>
    <row r="26" spans="1:6" ht="30">
      <c r="A26" s="86" t="s">
        <v>208</v>
      </c>
      <c r="B26" s="86">
        <v>2</v>
      </c>
      <c r="C26" s="86">
        <v>3</v>
      </c>
      <c r="D26" s="86">
        <f t="shared" si="0"/>
        <v>4</v>
      </c>
      <c r="E26" s="87" t="s">
        <v>209</v>
      </c>
      <c r="F26" s="83"/>
    </row>
    <row r="27" spans="1:6" ht="30">
      <c r="A27" s="86" t="s">
        <v>210</v>
      </c>
      <c r="B27" s="86">
        <v>4</v>
      </c>
      <c r="C27" s="86">
        <v>3</v>
      </c>
      <c r="D27" s="86">
        <f t="shared" si="0"/>
        <v>6</v>
      </c>
      <c r="E27" s="87" t="s">
        <v>211</v>
      </c>
      <c r="F27" s="83"/>
    </row>
    <row r="28" spans="1:6" ht="30">
      <c r="A28" s="86" t="s">
        <v>143</v>
      </c>
      <c r="B28" s="86">
        <v>3</v>
      </c>
      <c r="C28" s="86">
        <v>4</v>
      </c>
      <c r="D28" s="86">
        <f t="shared" si="0"/>
        <v>6</v>
      </c>
      <c r="E28" s="87" t="s">
        <v>212</v>
      </c>
      <c r="F28" s="83"/>
    </row>
    <row r="29" spans="1:6" ht="30">
      <c r="A29" s="86" t="s">
        <v>213</v>
      </c>
      <c r="B29" s="86">
        <v>1</v>
      </c>
      <c r="C29" s="86">
        <v>4</v>
      </c>
      <c r="D29" s="86">
        <f t="shared" si="0"/>
        <v>4</v>
      </c>
      <c r="E29" s="87" t="s">
        <v>214</v>
      </c>
      <c r="F29" s="83"/>
    </row>
    <row r="30" spans="1:6" ht="45">
      <c r="A30" s="86" t="s">
        <v>215</v>
      </c>
      <c r="B30" s="86">
        <v>2</v>
      </c>
      <c r="C30" s="86">
        <v>4</v>
      </c>
      <c r="D30" s="86">
        <f t="shared" si="0"/>
        <v>5</v>
      </c>
      <c r="E30" s="87" t="s">
        <v>216</v>
      </c>
      <c r="F30" s="83"/>
    </row>
    <row r="31" spans="1:6" ht="30">
      <c r="A31" s="86" t="s">
        <v>217</v>
      </c>
      <c r="B31" s="86">
        <v>3</v>
      </c>
      <c r="C31" s="86">
        <v>3</v>
      </c>
      <c r="D31" s="86">
        <f t="shared" si="0"/>
        <v>5</v>
      </c>
      <c r="E31" s="87" t="s">
        <v>218</v>
      </c>
      <c r="F31" s="83"/>
    </row>
    <row r="32" spans="1:6" ht="45">
      <c r="A32" s="86" t="s">
        <v>219</v>
      </c>
      <c r="B32" s="86">
        <v>2</v>
      </c>
      <c r="C32" s="86">
        <v>4</v>
      </c>
      <c r="D32" s="86">
        <f t="shared" si="0"/>
        <v>5</v>
      </c>
      <c r="E32" s="87" t="s">
        <v>220</v>
      </c>
      <c r="F32" s="83"/>
    </row>
    <row r="33" spans="1:6" ht="45">
      <c r="A33" s="86" t="s">
        <v>221</v>
      </c>
      <c r="B33" s="86">
        <v>4</v>
      </c>
      <c r="C33" s="86">
        <v>1</v>
      </c>
      <c r="D33" s="86">
        <f t="shared" si="0"/>
        <v>4</v>
      </c>
      <c r="E33" s="87" t="s">
        <v>222</v>
      </c>
      <c r="F33" s="83"/>
    </row>
    <row r="34" spans="1:6" ht="45">
      <c r="A34" s="86" t="s">
        <v>147</v>
      </c>
      <c r="B34" s="86">
        <v>2</v>
      </c>
      <c r="C34" s="86">
        <v>4</v>
      </c>
      <c r="D34" s="86">
        <f t="shared" si="0"/>
        <v>5</v>
      </c>
      <c r="E34" s="87" t="s">
        <v>223</v>
      </c>
      <c r="F34" s="83"/>
    </row>
    <row r="35" spans="1:6" ht="45">
      <c r="A35" s="86" t="s">
        <v>224</v>
      </c>
      <c r="B35" s="86">
        <v>3</v>
      </c>
      <c r="C35" s="86">
        <v>2</v>
      </c>
      <c r="D35" s="86">
        <f t="shared" si="0"/>
        <v>4</v>
      </c>
      <c r="E35" s="87" t="s">
        <v>225</v>
      </c>
      <c r="F35" s="83"/>
    </row>
    <row r="36" spans="1:6" ht="60">
      <c r="A36" s="86" t="s">
        <v>226</v>
      </c>
      <c r="B36" s="86">
        <v>4</v>
      </c>
      <c r="C36" s="86">
        <v>1</v>
      </c>
      <c r="D36" s="86">
        <f t="shared" si="0"/>
        <v>4</v>
      </c>
      <c r="E36" s="87" t="s">
        <v>227</v>
      </c>
      <c r="F36" s="83"/>
    </row>
    <row r="37" spans="1:6" ht="30">
      <c r="A37" s="86" t="s">
        <v>228</v>
      </c>
      <c r="B37" s="86">
        <v>5</v>
      </c>
      <c r="C37" s="86">
        <v>2</v>
      </c>
      <c r="D37" s="86">
        <f t="shared" si="0"/>
        <v>6</v>
      </c>
      <c r="E37" s="87" t="s">
        <v>229</v>
      </c>
      <c r="F37" s="83"/>
    </row>
    <row r="38" spans="1:6">
      <c r="A38" s="86" t="s">
        <v>230</v>
      </c>
      <c r="B38" s="86">
        <v>2</v>
      </c>
      <c r="C38" s="86">
        <v>1</v>
      </c>
      <c r="D38" s="86">
        <f t="shared" si="0"/>
        <v>2</v>
      </c>
      <c r="E38" s="87" t="s">
        <v>231</v>
      </c>
      <c r="F38" s="83"/>
    </row>
    <row r="39" spans="1:6">
      <c r="A39" s="86" t="s">
        <v>232</v>
      </c>
      <c r="B39" s="86">
        <v>2</v>
      </c>
      <c r="C39" s="86">
        <v>1</v>
      </c>
      <c r="D39" s="86">
        <f t="shared" si="0"/>
        <v>2</v>
      </c>
      <c r="E39" s="87" t="s">
        <v>233</v>
      </c>
      <c r="F39" s="83"/>
    </row>
    <row r="40" spans="1:6">
      <c r="A40" s="86" t="s">
        <v>234</v>
      </c>
      <c r="B40" s="86">
        <v>2</v>
      </c>
      <c r="C40" s="86">
        <v>3</v>
      </c>
      <c r="D40" s="86">
        <f t="shared" si="0"/>
        <v>4</v>
      </c>
      <c r="E40" s="87" t="s">
        <v>235</v>
      </c>
      <c r="F40" s="83"/>
    </row>
    <row r="41" spans="1:6">
      <c r="A41" s="86" t="s">
        <v>149</v>
      </c>
      <c r="B41" s="86">
        <v>1</v>
      </c>
      <c r="C41" s="86">
        <v>5</v>
      </c>
      <c r="D41" s="86">
        <f t="shared" si="0"/>
        <v>5</v>
      </c>
      <c r="E41" s="87" t="s">
        <v>236</v>
      </c>
      <c r="F41" s="83"/>
    </row>
    <row r="42" spans="1:6" ht="30">
      <c r="A42" s="86" t="s">
        <v>237</v>
      </c>
      <c r="B42" s="86">
        <v>3</v>
      </c>
      <c r="C42" s="86">
        <v>1</v>
      </c>
      <c r="D42" s="86">
        <f t="shared" si="0"/>
        <v>3</v>
      </c>
      <c r="E42" s="87" t="s">
        <v>238</v>
      </c>
      <c r="F42" s="83"/>
    </row>
    <row r="43" spans="1:6" ht="30">
      <c r="A43" s="86" t="s">
        <v>239</v>
      </c>
      <c r="B43" s="86">
        <v>1</v>
      </c>
      <c r="C43" s="86">
        <v>5</v>
      </c>
      <c r="D43" s="86">
        <f t="shared" si="0"/>
        <v>5</v>
      </c>
      <c r="E43" s="87" t="s">
        <v>238</v>
      </c>
      <c r="F43" s="83"/>
    </row>
    <row r="44" spans="1:6">
      <c r="A44" s="86" t="s">
        <v>240</v>
      </c>
      <c r="B44" s="86">
        <v>4</v>
      </c>
      <c r="C44" s="86">
        <v>1</v>
      </c>
      <c r="D44" s="86">
        <f t="shared" si="0"/>
        <v>4</v>
      </c>
      <c r="E44" s="87" t="s">
        <v>241</v>
      </c>
      <c r="F44" s="83"/>
    </row>
    <row r="45" spans="1:6" ht="30">
      <c r="A45" s="86" t="s">
        <v>242</v>
      </c>
      <c r="B45" s="86">
        <v>2</v>
      </c>
      <c r="C45" s="86">
        <v>3</v>
      </c>
      <c r="D45" s="86">
        <f t="shared" si="0"/>
        <v>4</v>
      </c>
      <c r="E45" s="87" t="s">
        <v>243</v>
      </c>
      <c r="F45" s="83"/>
    </row>
    <row r="46" spans="1:6" ht="30">
      <c r="A46" s="86" t="s">
        <v>244</v>
      </c>
      <c r="B46" s="86">
        <v>4</v>
      </c>
      <c r="C46" s="86">
        <v>2</v>
      </c>
      <c r="D46" s="86">
        <f t="shared" si="0"/>
        <v>5</v>
      </c>
      <c r="E46" s="87" t="s">
        <v>245</v>
      </c>
      <c r="F46" s="83"/>
    </row>
    <row r="47" spans="1:6" ht="45">
      <c r="A47" s="86" t="s">
        <v>246</v>
      </c>
      <c r="B47" s="86">
        <v>3</v>
      </c>
      <c r="C47" s="86">
        <v>4</v>
      </c>
      <c r="D47" s="86">
        <f t="shared" si="0"/>
        <v>6</v>
      </c>
      <c r="E47" s="87" t="s">
        <v>247</v>
      </c>
      <c r="F47" s="83"/>
    </row>
    <row r="48" spans="1:6" ht="30">
      <c r="A48" s="86" t="s">
        <v>248</v>
      </c>
      <c r="B48" s="86">
        <v>2</v>
      </c>
      <c r="C48" s="86">
        <v>3</v>
      </c>
      <c r="D48" s="86">
        <f t="shared" si="0"/>
        <v>4</v>
      </c>
      <c r="E48" s="87" t="s">
        <v>249</v>
      </c>
      <c r="F48" s="83"/>
    </row>
    <row r="49" spans="1:6" ht="30">
      <c r="A49" s="86" t="s">
        <v>250</v>
      </c>
      <c r="B49" s="86">
        <v>2</v>
      </c>
      <c r="C49" s="86">
        <v>1</v>
      </c>
      <c r="D49" s="86">
        <f t="shared" si="0"/>
        <v>2</v>
      </c>
      <c r="E49" s="87" t="s">
        <v>251</v>
      </c>
      <c r="F49" s="83"/>
    </row>
    <row r="50" spans="1:6" ht="45">
      <c r="A50" s="86" t="s">
        <v>145</v>
      </c>
      <c r="B50" s="86">
        <v>2</v>
      </c>
      <c r="C50" s="86">
        <v>4</v>
      </c>
      <c r="D50" s="86">
        <f t="shared" si="0"/>
        <v>5</v>
      </c>
      <c r="E50" s="87" t="s">
        <v>252</v>
      </c>
      <c r="F50" s="83"/>
    </row>
    <row r="51" spans="1:6" ht="45">
      <c r="A51" s="86" t="s">
        <v>253</v>
      </c>
      <c r="B51" s="86">
        <v>4</v>
      </c>
      <c r="C51" s="86">
        <v>2</v>
      </c>
      <c r="D51" s="86">
        <f t="shared" si="0"/>
        <v>5</v>
      </c>
      <c r="E51" s="87" t="s">
        <v>254</v>
      </c>
      <c r="F51" s="83"/>
    </row>
    <row r="52" spans="1:6" ht="30">
      <c r="A52" s="86" t="s">
        <v>255</v>
      </c>
      <c r="B52" s="86">
        <v>4</v>
      </c>
      <c r="C52" s="86">
        <v>2</v>
      </c>
      <c r="D52" s="86">
        <f t="shared" si="0"/>
        <v>5</v>
      </c>
      <c r="E52" s="87" t="s">
        <v>256</v>
      </c>
      <c r="F52" s="83"/>
    </row>
    <row r="53" spans="1:6" ht="30">
      <c r="A53" s="86" t="s">
        <v>257</v>
      </c>
      <c r="B53" s="86">
        <v>4</v>
      </c>
      <c r="C53" s="86">
        <v>2</v>
      </c>
      <c r="D53" s="86">
        <f t="shared" si="0"/>
        <v>5</v>
      </c>
      <c r="E53" s="87" t="s">
        <v>258</v>
      </c>
      <c r="F53" s="83"/>
    </row>
    <row r="54" spans="1:6" ht="30">
      <c r="A54" s="86" t="s">
        <v>259</v>
      </c>
      <c r="B54" s="86">
        <v>2</v>
      </c>
      <c r="C54" s="86">
        <v>4</v>
      </c>
      <c r="D54" s="86">
        <f t="shared" si="0"/>
        <v>5</v>
      </c>
      <c r="E54" s="87" t="s">
        <v>260</v>
      </c>
      <c r="F54" s="83"/>
    </row>
    <row r="55" spans="1:6">
      <c r="A55" s="86" t="s">
        <v>261</v>
      </c>
      <c r="B55" s="86">
        <v>2</v>
      </c>
      <c r="C55" s="86">
        <v>3</v>
      </c>
      <c r="D55" s="86">
        <f t="shared" si="0"/>
        <v>4</v>
      </c>
      <c r="E55" s="87" t="s">
        <v>262</v>
      </c>
      <c r="F55" s="83"/>
    </row>
    <row r="56" spans="1:6" ht="30">
      <c r="A56" s="86" t="s">
        <v>263</v>
      </c>
      <c r="B56" s="86">
        <v>1</v>
      </c>
      <c r="C56" s="86">
        <v>3</v>
      </c>
      <c r="D56" s="86">
        <f t="shared" si="0"/>
        <v>3</v>
      </c>
      <c r="E56" s="87" t="s">
        <v>264</v>
      </c>
      <c r="F56" s="83"/>
    </row>
    <row r="57" spans="1:6" ht="30">
      <c r="A57" s="86" t="s">
        <v>153</v>
      </c>
      <c r="B57" s="86">
        <v>4</v>
      </c>
      <c r="C57" s="86">
        <v>2</v>
      </c>
      <c r="D57" s="86">
        <f t="shared" si="0"/>
        <v>5</v>
      </c>
      <c r="E57" s="87" t="s">
        <v>265</v>
      </c>
      <c r="F57" s="83"/>
    </row>
    <row r="58" spans="1:6">
      <c r="A58" s="86"/>
      <c r="B58" s="86"/>
      <c r="C58" s="86"/>
      <c r="D58" s="86"/>
      <c r="E58" s="87"/>
      <c r="F58" s="83"/>
    </row>
    <row r="59" spans="1:6">
      <c r="A59" s="86"/>
      <c r="B59" s="86"/>
      <c r="C59" s="86"/>
      <c r="D59" s="86"/>
      <c r="E59" s="87"/>
      <c r="F59" s="83"/>
    </row>
    <row r="60" spans="1:6">
      <c r="A60" s="86"/>
      <c r="B60" s="86"/>
      <c r="C60" s="86"/>
      <c r="D60" s="86"/>
      <c r="E60" s="87"/>
      <c r="F60" s="83"/>
    </row>
    <row r="61" spans="1:6">
      <c r="A61" s="86"/>
      <c r="B61" s="86"/>
      <c r="C61" s="86"/>
      <c r="D61" s="86"/>
      <c r="E61" s="87"/>
      <c r="F61" s="83"/>
    </row>
    <row r="62" spans="1:6">
      <c r="A62" s="86"/>
      <c r="B62" s="86"/>
      <c r="C62" s="86"/>
      <c r="D62" s="86"/>
      <c r="E62" s="87"/>
      <c r="F62" s="83"/>
    </row>
    <row r="63" spans="1:6">
      <c r="A63" s="86"/>
      <c r="B63" s="86"/>
      <c r="C63" s="86"/>
      <c r="D63" s="86"/>
      <c r="E63" s="87"/>
      <c r="F63" s="83"/>
    </row>
    <row r="64" spans="1:6">
      <c r="A64" s="86"/>
      <c r="B64" s="86"/>
      <c r="C64" s="86"/>
      <c r="D64" s="86"/>
      <c r="E64" s="87"/>
      <c r="F64" s="83"/>
    </row>
    <row r="65" spans="1:6">
      <c r="A65" s="86"/>
      <c r="B65" s="86"/>
      <c r="C65" s="86"/>
      <c r="D65" s="86"/>
      <c r="E65" s="87"/>
      <c r="F65" s="83"/>
    </row>
    <row r="66" spans="1:6">
      <c r="A66" s="86"/>
      <c r="B66" s="86"/>
      <c r="C66" s="86"/>
      <c r="D66" s="86"/>
      <c r="E66" s="87"/>
      <c r="F66" s="83"/>
    </row>
    <row r="67" spans="1:6">
      <c r="A67" s="86"/>
      <c r="B67" s="86"/>
      <c r="C67" s="86"/>
      <c r="D67" s="86"/>
      <c r="E67" s="87"/>
      <c r="F67" s="83"/>
    </row>
    <row r="68" spans="1:6">
      <c r="A68" s="86"/>
      <c r="B68" s="86"/>
      <c r="C68" s="86"/>
      <c r="D68" s="86"/>
      <c r="E68" s="87"/>
      <c r="F68" s="83"/>
    </row>
    <row r="69" spans="1:6">
      <c r="A69" s="86"/>
      <c r="B69" s="86"/>
      <c r="C69" s="86"/>
      <c r="D69" s="86"/>
      <c r="E69" s="87"/>
      <c r="F69" s="83"/>
    </row>
    <row r="70" spans="1:6">
      <c r="A70" s="86"/>
      <c r="B70" s="86"/>
      <c r="C70" s="86"/>
      <c r="D70" s="86"/>
      <c r="E70" s="87"/>
      <c r="F70" s="83"/>
    </row>
    <row r="71" spans="1:6" ht="30">
      <c r="A71" s="86" t="s">
        <v>153</v>
      </c>
      <c r="B71" s="86">
        <v>4</v>
      </c>
      <c r="C71" s="86">
        <v>2</v>
      </c>
      <c r="D71" s="86">
        <f t="shared" ref="D71" si="1">B71+C71-1</f>
        <v>5</v>
      </c>
      <c r="E71" s="87" t="s">
        <v>265</v>
      </c>
      <c r="F71" s="83"/>
    </row>
    <row r="72" spans="1:6">
      <c r="F72" s="83"/>
    </row>
    <row r="73" spans="1:6">
      <c r="F73" s="83"/>
    </row>
    <row r="74" spans="1:6">
      <c r="F74" s="83"/>
    </row>
    <row r="75" spans="1:6">
      <c r="F75" s="83"/>
    </row>
    <row r="76" spans="1:6">
      <c r="A76" s="84" t="s">
        <v>266</v>
      </c>
      <c r="F76" s="83"/>
    </row>
    <row r="77" spans="1:6">
      <c r="A77" s="91" t="s">
        <v>267</v>
      </c>
      <c r="F77" s="83"/>
    </row>
    <row r="78" spans="1:6">
      <c r="A78" s="91" t="s">
        <v>268</v>
      </c>
      <c r="F78" s="83"/>
    </row>
    <row r="79" spans="1:6">
      <c r="A79" s="91" t="s">
        <v>269</v>
      </c>
      <c r="F79" s="83"/>
    </row>
    <row r="80" spans="1:6">
      <c r="A80" s="91" t="s">
        <v>270</v>
      </c>
      <c r="F80" s="83"/>
    </row>
    <row r="81" spans="1:6">
      <c r="A81" s="91" t="s">
        <v>271</v>
      </c>
      <c r="F81" s="83"/>
    </row>
    <row r="82" spans="1:6">
      <c r="A82" s="91" t="s">
        <v>272</v>
      </c>
      <c r="F82" s="83"/>
    </row>
    <row r="83" spans="1:6">
      <c r="A83" s="91" t="s">
        <v>273</v>
      </c>
      <c r="F83" s="83"/>
    </row>
    <row r="84" spans="1:6">
      <c r="A84" s="91" t="s">
        <v>274</v>
      </c>
      <c r="F84" s="83"/>
    </row>
    <row r="85" spans="1:6">
      <c r="A85" s="91" t="s">
        <v>275</v>
      </c>
      <c r="F85" s="83"/>
    </row>
    <row r="86" spans="1:6">
      <c r="A86" s="91" t="s">
        <v>276</v>
      </c>
      <c r="F86" s="83"/>
    </row>
    <row r="87" spans="1:6">
      <c r="A87" s="91" t="s">
        <v>277</v>
      </c>
      <c r="F87" s="83"/>
    </row>
    <row r="88" spans="1:6">
      <c r="A88" s="91" t="s">
        <v>278</v>
      </c>
      <c r="F88" s="83"/>
    </row>
    <row r="89" spans="1:6">
      <c r="A89" s="91" t="s">
        <v>279</v>
      </c>
    </row>
    <row r="90" spans="1:6">
      <c r="A90" s="91" t="s">
        <v>280</v>
      </c>
    </row>
    <row r="91" spans="1:6">
      <c r="A91" s="91" t="s">
        <v>281</v>
      </c>
    </row>
    <row r="92" spans="1:6">
      <c r="A92" s="91" t="s">
        <v>282</v>
      </c>
    </row>
    <row r="93" spans="1:6">
      <c r="A93" s="91" t="s">
        <v>283</v>
      </c>
    </row>
    <row r="94" spans="1:6">
      <c r="A94" s="91" t="s">
        <v>284</v>
      </c>
    </row>
    <row r="95" spans="1:6">
      <c r="A95" s="91" t="s">
        <v>285</v>
      </c>
    </row>
    <row r="96" spans="1:6">
      <c r="A96" s="91" t="s">
        <v>286</v>
      </c>
    </row>
    <row r="97" spans="1:1">
      <c r="A97" s="91" t="s">
        <v>287</v>
      </c>
    </row>
    <row r="98" spans="1:1">
      <c r="A98" s="91" t="s">
        <v>288</v>
      </c>
    </row>
    <row r="99" spans="1:1">
      <c r="A99" s="91" t="s">
        <v>289</v>
      </c>
    </row>
    <row r="100" spans="1:1">
      <c r="A100" s="91" t="s">
        <v>290</v>
      </c>
    </row>
    <row r="101" spans="1:1">
      <c r="A101" s="91" t="s">
        <v>291</v>
      </c>
    </row>
    <row r="102" spans="1:1">
      <c r="A102" s="91" t="s">
        <v>292</v>
      </c>
    </row>
    <row r="103" spans="1:1">
      <c r="A103" s="91" t="s">
        <v>293</v>
      </c>
    </row>
    <row r="104" spans="1:1">
      <c r="A104" s="91" t="s">
        <v>294</v>
      </c>
    </row>
    <row r="105" spans="1:1">
      <c r="A105" s="91" t="s">
        <v>295</v>
      </c>
    </row>
    <row r="106" spans="1:1">
      <c r="A106" s="91" t="s">
        <v>296</v>
      </c>
    </row>
    <row r="107" spans="1:1">
      <c r="A107" s="91" t="s">
        <v>297</v>
      </c>
    </row>
    <row r="108" spans="1:1">
      <c r="A108" s="91" t="s">
        <v>298</v>
      </c>
    </row>
    <row r="109" spans="1:1">
      <c r="A109" s="91" t="s">
        <v>299</v>
      </c>
    </row>
    <row r="110" spans="1:1">
      <c r="A110" s="91" t="s">
        <v>300</v>
      </c>
    </row>
    <row r="111" spans="1:1">
      <c r="A111" s="91" t="s">
        <v>301</v>
      </c>
    </row>
    <row r="112" spans="1:1">
      <c r="A112" s="91" t="s">
        <v>302</v>
      </c>
    </row>
    <row r="113" spans="1:1">
      <c r="A113" s="91" t="s">
        <v>303</v>
      </c>
    </row>
    <row r="114" spans="1:1">
      <c r="A114" s="91" t="s">
        <v>304</v>
      </c>
    </row>
    <row r="115" spans="1:1">
      <c r="A115" s="91" t="s">
        <v>305</v>
      </c>
    </row>
    <row r="116" spans="1:1">
      <c r="A116" s="91" t="s">
        <v>306</v>
      </c>
    </row>
    <row r="117" spans="1:1">
      <c r="A117" s="91" t="s">
        <v>307</v>
      </c>
    </row>
    <row r="118" spans="1:1">
      <c r="A118" s="91" t="s">
        <v>308</v>
      </c>
    </row>
    <row r="119" spans="1:1">
      <c r="A119" s="91" t="s">
        <v>309</v>
      </c>
    </row>
    <row r="120" spans="1:1">
      <c r="A120" s="91" t="s">
        <v>310</v>
      </c>
    </row>
    <row r="121" spans="1:1">
      <c r="A121" s="91" t="s">
        <v>311</v>
      </c>
    </row>
    <row r="122" spans="1:1">
      <c r="A122" s="91" t="s">
        <v>312</v>
      </c>
    </row>
    <row r="123" spans="1:1">
      <c r="A123" s="91" t="s">
        <v>313</v>
      </c>
    </row>
    <row r="124" spans="1:1">
      <c r="A124" s="85" t="s">
        <v>314</v>
      </c>
    </row>
    <row r="125" spans="1:1">
      <c r="A125" s="91" t="s">
        <v>315</v>
      </c>
    </row>
    <row r="126" spans="1:1">
      <c r="A126" s="85" t="s">
        <v>316</v>
      </c>
    </row>
    <row r="127" spans="1:1">
      <c r="A127" s="91" t="s">
        <v>317</v>
      </c>
    </row>
    <row r="128" spans="1:1">
      <c r="A128" s="85" t="s">
        <v>318</v>
      </c>
    </row>
    <row r="129" spans="1:1">
      <c r="A129" s="91" t="s">
        <v>319</v>
      </c>
    </row>
    <row r="130" spans="1:1">
      <c r="A130" s="91" t="s">
        <v>320</v>
      </c>
    </row>
    <row r="131" spans="1:1">
      <c r="A131" s="91" t="s">
        <v>321</v>
      </c>
    </row>
    <row r="132" spans="1:1">
      <c r="A132" s="91" t="s">
        <v>322</v>
      </c>
    </row>
    <row r="133" spans="1:1">
      <c r="A133" s="91" t="s">
        <v>323</v>
      </c>
    </row>
    <row r="134" spans="1:1">
      <c r="A134" s="91" t="s">
        <v>324</v>
      </c>
    </row>
    <row r="135" spans="1:1">
      <c r="A135" s="91" t="s">
        <v>325</v>
      </c>
    </row>
    <row r="136" spans="1:1">
      <c r="A136" s="91" t="s">
        <v>326</v>
      </c>
    </row>
    <row r="137" spans="1:1">
      <c r="A137" s="91" t="s">
        <v>327</v>
      </c>
    </row>
    <row r="138" spans="1:1">
      <c r="A138" s="91" t="s">
        <v>328</v>
      </c>
    </row>
    <row r="139" spans="1:1">
      <c r="A139" s="91" t="s">
        <v>329</v>
      </c>
    </row>
    <row r="140" spans="1:1">
      <c r="A140" s="91" t="s">
        <v>330</v>
      </c>
    </row>
    <row r="141" spans="1:1">
      <c r="A141" s="91" t="s">
        <v>331</v>
      </c>
    </row>
    <row r="142" spans="1:1">
      <c r="A142" s="91" t="s">
        <v>332</v>
      </c>
    </row>
    <row r="143" spans="1:1">
      <c r="A143" s="91" t="s">
        <v>333</v>
      </c>
    </row>
    <row r="144" spans="1:1">
      <c r="A144" s="91" t="s">
        <v>334</v>
      </c>
    </row>
    <row r="145" spans="1:1">
      <c r="A145" s="91" t="s">
        <v>335</v>
      </c>
    </row>
    <row r="146" spans="1:1">
      <c r="A146" s="91" t="s">
        <v>336</v>
      </c>
    </row>
    <row r="147" spans="1:1">
      <c r="A147" s="91" t="s">
        <v>337</v>
      </c>
    </row>
    <row r="148" spans="1:1">
      <c r="A148" s="91" t="s">
        <v>338</v>
      </c>
    </row>
    <row r="149" spans="1:1">
      <c r="A149" s="91" t="s">
        <v>339</v>
      </c>
    </row>
    <row r="150" spans="1:1">
      <c r="A150" s="91" t="s">
        <v>340</v>
      </c>
    </row>
    <row r="151" spans="1:1">
      <c r="A151" s="91" t="s">
        <v>341</v>
      </c>
    </row>
    <row r="152" spans="1:1">
      <c r="A152" s="91" t="s">
        <v>342</v>
      </c>
    </row>
    <row r="153" spans="1:1">
      <c r="A153" s="91" t="s">
        <v>343</v>
      </c>
    </row>
    <row r="154" spans="1:1">
      <c r="A154" s="91" t="s">
        <v>344</v>
      </c>
    </row>
    <row r="155" spans="1:1">
      <c r="A155" s="91" t="s">
        <v>345</v>
      </c>
    </row>
    <row r="156" spans="1:1">
      <c r="A156" s="91" t="s">
        <v>346</v>
      </c>
    </row>
    <row r="157" spans="1:1">
      <c r="A157" s="91" t="s">
        <v>347</v>
      </c>
    </row>
    <row r="158" spans="1:1">
      <c r="A158" s="91" t="s">
        <v>348</v>
      </c>
    </row>
    <row r="159" spans="1:1">
      <c r="A159" s="91" t="s">
        <v>349</v>
      </c>
    </row>
    <row r="160" spans="1:1">
      <c r="A160" s="91" t="s">
        <v>350</v>
      </c>
    </row>
    <row r="161" spans="1:1">
      <c r="A161" s="91" t="s">
        <v>351</v>
      </c>
    </row>
    <row r="162" spans="1:1">
      <c r="A162" s="91" t="s">
        <v>352</v>
      </c>
    </row>
    <row r="163" spans="1:1">
      <c r="A163" s="91" t="s">
        <v>353</v>
      </c>
    </row>
    <row r="164" spans="1:1">
      <c r="A164" s="91" t="s">
        <v>354</v>
      </c>
    </row>
    <row r="165" spans="1:1">
      <c r="A165" s="91" t="s">
        <v>355</v>
      </c>
    </row>
    <row r="166" spans="1:1">
      <c r="A166" s="91" t="s">
        <v>356</v>
      </c>
    </row>
    <row r="167" spans="1:1">
      <c r="A167" s="91" t="s">
        <v>357</v>
      </c>
    </row>
    <row r="168" spans="1:1">
      <c r="A168" s="91" t="s">
        <v>358</v>
      </c>
    </row>
    <row r="169" spans="1:1">
      <c r="A169" s="91" t="s">
        <v>359</v>
      </c>
    </row>
    <row r="170" spans="1:1">
      <c r="A170" s="91" t="s">
        <v>360</v>
      </c>
    </row>
    <row r="171" spans="1:1">
      <c r="A171" s="91" t="s">
        <v>361</v>
      </c>
    </row>
    <row r="172" spans="1:1">
      <c r="A172" s="91" t="s">
        <v>362</v>
      </c>
    </row>
    <row r="173" spans="1:1">
      <c r="A173" s="91" t="s">
        <v>363</v>
      </c>
    </row>
    <row r="174" spans="1:1">
      <c r="A174" s="91" t="s">
        <v>364</v>
      </c>
    </row>
    <row r="175" spans="1:1">
      <c r="A175" s="91" t="s">
        <v>365</v>
      </c>
    </row>
    <row r="176" spans="1:1">
      <c r="A176" s="91" t="s">
        <v>366</v>
      </c>
    </row>
    <row r="177" spans="1:1">
      <c r="A177" s="91" t="s">
        <v>367</v>
      </c>
    </row>
    <row r="178" spans="1:1">
      <c r="A178" s="91" t="s">
        <v>368</v>
      </c>
    </row>
    <row r="179" spans="1:1">
      <c r="A179" s="91" t="s">
        <v>369</v>
      </c>
    </row>
    <row r="180" spans="1:1">
      <c r="A180" s="91" t="s">
        <v>370</v>
      </c>
    </row>
    <row r="181" spans="1:1">
      <c r="A181" s="91" t="s">
        <v>371</v>
      </c>
    </row>
    <row r="182" spans="1:1">
      <c r="A182" s="91" t="s">
        <v>372</v>
      </c>
    </row>
    <row r="183" spans="1:1">
      <c r="A183" s="91"/>
    </row>
    <row r="184" spans="1:1">
      <c r="A184" s="91"/>
    </row>
    <row r="185" spans="1:1">
      <c r="A185" s="91"/>
    </row>
    <row r="186" spans="1:1">
      <c r="A186" s="91"/>
    </row>
  </sheetData>
  <autoFilter ref="A1:F132" xr:uid="{E19FE469-8306-465F-BB43-01C83C1508EB}"/>
  <conditionalFormatting sqref="D58:D71">
    <cfRule type="cellIs" dxfId="8" priority="10" operator="between">
      <formula>3.41</formula>
      <formula>5.99</formula>
    </cfRule>
    <cfRule type="cellIs" dxfId="7" priority="11" operator="lessThanOrEqual">
      <formula>3.4</formula>
    </cfRule>
    <cfRule type="cellIs" dxfId="6" priority="12" operator="greaterThanOrEqual">
      <formula>6</formula>
    </cfRule>
  </conditionalFormatting>
  <conditionalFormatting sqref="D2:D32 D34:D57">
    <cfRule type="cellIs" dxfId="5" priority="4" operator="between">
      <formula>3.41</formula>
      <formula>5.99</formula>
    </cfRule>
    <cfRule type="cellIs" dxfId="4" priority="5" operator="lessThanOrEqual">
      <formula>3.4</formula>
    </cfRule>
    <cfRule type="cellIs" dxfId="3" priority="6" operator="greaterThanOrEqual">
      <formula>6</formula>
    </cfRule>
  </conditionalFormatting>
  <conditionalFormatting sqref="D33">
    <cfRule type="cellIs" dxfId="2" priority="1" operator="between">
      <formula>3.41</formula>
      <formula>5.99</formula>
    </cfRule>
    <cfRule type="cellIs" dxfId="1" priority="2" operator="lessThanOrEqual">
      <formula>3.4</formula>
    </cfRule>
    <cfRule type="cellIs" dxfId="0" priority="3" operator="greaterThanOrEqual">
      <formula>6</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91EDAC-66A4-4B09-BAAB-8658F290E180}"/>
</file>

<file path=customXml/itemProps2.xml><?xml version="1.0" encoding="utf-8"?>
<ds:datastoreItem xmlns:ds="http://schemas.openxmlformats.org/officeDocument/2006/customXml" ds:itemID="{6BFC13E3-9E22-409C-8675-9A45B877112F}"/>
</file>

<file path=customXml/itemProps3.xml><?xml version="1.0" encoding="utf-8"?>
<ds:datastoreItem xmlns:ds="http://schemas.openxmlformats.org/officeDocument/2006/customXml" ds:itemID="{498FD52E-D304-418A-83A2-FA396827585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(GE Vernova)</cp:lastModifiedBy>
  <cp:revision/>
  <dcterms:created xsi:type="dcterms:W3CDTF">2020-02-07T11:44:21Z</dcterms:created>
  <dcterms:modified xsi:type="dcterms:W3CDTF">2023-12-13T16:34:25Z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