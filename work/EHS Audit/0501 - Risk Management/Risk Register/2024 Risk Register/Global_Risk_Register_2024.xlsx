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605038267\Documents\"/>
    </mc:Choice>
  </mc:AlternateContent>
  <xr:revisionPtr revIDLastSave="0" documentId="8_{05CC6E42-23EC-4B3D-B311-78FD08FC1E2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GP 2022_Global" sheetId="1" r:id="rId1"/>
    <sheet name="GP 2024_Global" sheetId="21" r:id="rId2"/>
    <sheet name="Sheet1" sheetId="20" r:id="rId3"/>
    <sheet name="Segment Roll-up" sheetId="14" state="hidden" r:id="rId4"/>
    <sheet name="Region Roll-up" sheetId="12" state="hidden" r:id="rId5"/>
  </sheets>
  <definedNames>
    <definedName name="_xlnm.Print_Area" localSheetId="0">'GP 2022_Global'!$B$1:$R$16</definedName>
    <definedName name="_xlnm.Print_Area" localSheetId="1">'GP 2024_Global'!$B$1:$R$16</definedName>
    <definedName name="REASSESSMENT_DATE" localSheetId="1">#REF!</definedName>
    <definedName name="REASSESSMENT_DATE">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21" l="1"/>
  <c r="I4" i="21"/>
  <c r="I5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3" i="21"/>
  <c r="R26" i="21"/>
  <c r="O26" i="21"/>
  <c r="L26" i="21"/>
  <c r="F26" i="21"/>
  <c r="R25" i="21"/>
  <c r="O25" i="21"/>
  <c r="L25" i="21"/>
  <c r="F25" i="21"/>
  <c r="U24" i="21"/>
  <c r="R24" i="21"/>
  <c r="O24" i="21"/>
  <c r="L24" i="21"/>
  <c r="F24" i="21"/>
  <c r="U23" i="21"/>
  <c r="R23" i="21"/>
  <c r="O23" i="21"/>
  <c r="L23" i="21"/>
  <c r="F23" i="21"/>
  <c r="U22" i="21"/>
  <c r="R22" i="21"/>
  <c r="O22" i="21"/>
  <c r="L22" i="21"/>
  <c r="F22" i="21"/>
  <c r="U21" i="21"/>
  <c r="R21" i="21"/>
  <c r="O21" i="21"/>
  <c r="L21" i="21"/>
  <c r="F21" i="21"/>
  <c r="U20" i="21"/>
  <c r="R20" i="21"/>
  <c r="O20" i="21"/>
  <c r="L20" i="21"/>
  <c r="F20" i="21"/>
  <c r="U19" i="21"/>
  <c r="R19" i="21"/>
  <c r="O19" i="21"/>
  <c r="L19" i="21"/>
  <c r="F19" i="21"/>
  <c r="U18" i="21"/>
  <c r="R18" i="21"/>
  <c r="O18" i="21"/>
  <c r="L18" i="21"/>
  <c r="F18" i="21"/>
  <c r="U17" i="21"/>
  <c r="R17" i="21"/>
  <c r="O17" i="21"/>
  <c r="L17" i="21"/>
  <c r="F17" i="21"/>
  <c r="U16" i="21"/>
  <c r="R16" i="21"/>
  <c r="O16" i="21"/>
  <c r="L16" i="21"/>
  <c r="F16" i="21"/>
  <c r="U15" i="21"/>
  <c r="R15" i="21"/>
  <c r="O15" i="21"/>
  <c r="L15" i="21"/>
  <c r="F15" i="21"/>
  <c r="U14" i="21"/>
  <c r="R14" i="21"/>
  <c r="O14" i="21"/>
  <c r="L14" i="21"/>
  <c r="F14" i="21"/>
  <c r="U13" i="21"/>
  <c r="R13" i="21"/>
  <c r="O13" i="21"/>
  <c r="L13" i="21"/>
  <c r="F13" i="21"/>
  <c r="U12" i="21"/>
  <c r="R12" i="21"/>
  <c r="O12" i="21"/>
  <c r="L12" i="21"/>
  <c r="F12" i="21"/>
  <c r="U11" i="21"/>
  <c r="R11" i="21"/>
  <c r="O11" i="21"/>
  <c r="L11" i="21"/>
  <c r="F11" i="21"/>
  <c r="U10" i="21"/>
  <c r="R10" i="21"/>
  <c r="O10" i="21"/>
  <c r="L10" i="21"/>
  <c r="F10" i="21"/>
  <c r="U9" i="21"/>
  <c r="R9" i="21"/>
  <c r="O9" i="21"/>
  <c r="L9" i="21"/>
  <c r="F9" i="21"/>
  <c r="U8" i="21"/>
  <c r="R8" i="21"/>
  <c r="O8" i="21"/>
  <c r="L8" i="21"/>
  <c r="F8" i="21"/>
  <c r="U7" i="21"/>
  <c r="R7" i="21"/>
  <c r="O7" i="21"/>
  <c r="L7" i="21"/>
  <c r="F7" i="21"/>
  <c r="U6" i="21"/>
  <c r="R6" i="21"/>
  <c r="O6" i="21"/>
  <c r="L6" i="21"/>
  <c r="F6" i="21"/>
  <c r="U5" i="21"/>
  <c r="R5" i="21"/>
  <c r="O5" i="21"/>
  <c r="L5" i="21"/>
  <c r="F5" i="21"/>
  <c r="U4" i="21"/>
  <c r="R4" i="21"/>
  <c r="O4" i="21"/>
  <c r="L4" i="21"/>
  <c r="F4" i="21"/>
  <c r="U3" i="21"/>
  <c r="R3" i="21"/>
  <c r="O3" i="21"/>
  <c r="L3" i="21"/>
  <c r="F3" i="21"/>
  <c r="U20" i="1"/>
  <c r="U19" i="1"/>
  <c r="U18" i="1"/>
  <c r="U17" i="1"/>
  <c r="U16" i="1"/>
  <c r="U9" i="1"/>
  <c r="U14" i="1"/>
  <c r="U10" i="1"/>
  <c r="U15" i="1"/>
  <c r="U13" i="1"/>
  <c r="U12" i="1"/>
  <c r="U11" i="1"/>
  <c r="U6" i="1"/>
  <c r="U8" i="1"/>
  <c r="U4" i="1"/>
  <c r="U5" i="1"/>
  <c r="U7" i="1"/>
  <c r="U3" i="1"/>
  <c r="R20" i="1"/>
  <c r="R19" i="1"/>
  <c r="R18" i="1"/>
  <c r="R17" i="1"/>
  <c r="R16" i="1"/>
  <c r="R9" i="1"/>
  <c r="R14" i="1"/>
  <c r="R10" i="1"/>
  <c r="R15" i="1"/>
  <c r="R13" i="1"/>
  <c r="R12" i="1"/>
  <c r="R11" i="1"/>
  <c r="R6" i="1"/>
  <c r="R8" i="1"/>
  <c r="R4" i="1"/>
  <c r="R5" i="1"/>
  <c r="R7" i="1"/>
  <c r="R3" i="1"/>
  <c r="O20" i="1"/>
  <c r="O19" i="1"/>
  <c r="O18" i="1"/>
  <c r="O17" i="1"/>
  <c r="O16" i="1"/>
  <c r="O9" i="1"/>
  <c r="O14" i="1"/>
  <c r="O10" i="1"/>
  <c r="O15" i="1"/>
  <c r="O13" i="1"/>
  <c r="O12" i="1"/>
  <c r="O11" i="1"/>
  <c r="O6" i="1"/>
  <c r="O8" i="1"/>
  <c r="O4" i="1"/>
  <c r="O5" i="1"/>
  <c r="O7" i="1"/>
  <c r="O3" i="1"/>
  <c r="L20" i="1"/>
  <c r="L19" i="1"/>
  <c r="L18" i="1"/>
  <c r="L17" i="1"/>
  <c r="L16" i="1"/>
  <c r="L9" i="1"/>
  <c r="L14" i="1"/>
  <c r="L10" i="1"/>
  <c r="L15" i="1"/>
  <c r="L13" i="1"/>
  <c r="L12" i="1"/>
  <c r="L11" i="1"/>
  <c r="L6" i="1"/>
  <c r="L8" i="1"/>
  <c r="L4" i="1"/>
  <c r="L5" i="1"/>
  <c r="L7" i="1"/>
  <c r="L3" i="1"/>
  <c r="I20" i="1"/>
  <c r="I19" i="1"/>
  <c r="I18" i="1"/>
  <c r="I17" i="1"/>
  <c r="I16" i="1"/>
  <c r="I9" i="1"/>
  <c r="I14" i="1"/>
  <c r="I10" i="1"/>
  <c r="I15" i="1"/>
  <c r="I13" i="1"/>
  <c r="I12" i="1"/>
  <c r="I11" i="1"/>
  <c r="I6" i="1"/>
  <c r="I8" i="1"/>
  <c r="I4" i="1"/>
  <c r="I5" i="1"/>
  <c r="I7" i="1"/>
  <c r="I3" i="1"/>
  <c r="F20" i="1"/>
  <c r="F19" i="1"/>
  <c r="F18" i="1"/>
  <c r="F17" i="1"/>
  <c r="F16" i="1"/>
  <c r="F9" i="1"/>
  <c r="F14" i="1"/>
  <c r="F10" i="1"/>
  <c r="F15" i="1"/>
  <c r="F13" i="1"/>
  <c r="F12" i="1"/>
  <c r="F11" i="1"/>
  <c r="F6" i="1"/>
  <c r="F8" i="1"/>
  <c r="F4" i="1"/>
  <c r="F5" i="1"/>
  <c r="F7" i="1"/>
  <c r="F3" i="1"/>
  <c r="R21" i="12" l="1"/>
  <c r="O21" i="12"/>
  <c r="L21" i="12"/>
  <c r="I21" i="12"/>
  <c r="F21" i="12"/>
  <c r="AA21" i="14"/>
  <c r="X21" i="14"/>
  <c r="U21" i="14"/>
  <c r="R21" i="14"/>
  <c r="O21" i="14"/>
  <c r="L21" i="14"/>
  <c r="I21" i="14"/>
  <c r="F21" i="14"/>
  <c r="O3" i="14" l="1"/>
  <c r="L22" i="14" l="1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AA22" i="14" l="1"/>
  <c r="AA20" i="14"/>
  <c r="AA19" i="14"/>
  <c r="AA18" i="14"/>
  <c r="AA17" i="14"/>
  <c r="AA16" i="14"/>
  <c r="AA15" i="14"/>
  <c r="AA14" i="14"/>
  <c r="AA13" i="14"/>
  <c r="AA12" i="14"/>
  <c r="AA11" i="14"/>
  <c r="AA10" i="14"/>
  <c r="AA9" i="14"/>
  <c r="AA8" i="14"/>
  <c r="AA7" i="14"/>
  <c r="AA6" i="14"/>
  <c r="AA5" i="14"/>
  <c r="AA4" i="14"/>
  <c r="AA3" i="14"/>
  <c r="X22" i="14"/>
  <c r="X20" i="14"/>
  <c r="X19" i="14"/>
  <c r="X18" i="14"/>
  <c r="X17" i="14"/>
  <c r="X16" i="14"/>
  <c r="X15" i="14"/>
  <c r="X14" i="14"/>
  <c r="X13" i="14"/>
  <c r="X12" i="14"/>
  <c r="X11" i="14"/>
  <c r="X10" i="14"/>
  <c r="X9" i="14"/>
  <c r="X8" i="14"/>
  <c r="X7" i="14"/>
  <c r="X6" i="14"/>
  <c r="X5" i="14"/>
  <c r="X4" i="14"/>
  <c r="X3" i="14"/>
  <c r="U22" i="14" l="1"/>
  <c r="U20" i="14"/>
  <c r="U19" i="14"/>
  <c r="U18" i="14"/>
  <c r="U17" i="14"/>
  <c r="U16" i="14"/>
  <c r="U15" i="14"/>
  <c r="U14" i="14"/>
  <c r="U13" i="14"/>
  <c r="U12" i="14"/>
  <c r="U11" i="14"/>
  <c r="U10" i="14"/>
  <c r="U9" i="14"/>
  <c r="U8" i="14"/>
  <c r="U7" i="14"/>
  <c r="U6" i="14"/>
  <c r="U5" i="14"/>
  <c r="U4" i="14"/>
  <c r="U3" i="14"/>
  <c r="R22" i="14"/>
  <c r="R20" i="14"/>
  <c r="R19" i="14"/>
  <c r="R18" i="14"/>
  <c r="R17" i="14"/>
  <c r="R16" i="14"/>
  <c r="R15" i="14"/>
  <c r="R14" i="14"/>
  <c r="R13" i="14"/>
  <c r="R12" i="14"/>
  <c r="R11" i="14"/>
  <c r="R10" i="14"/>
  <c r="R9" i="14"/>
  <c r="R8" i="14"/>
  <c r="R7" i="14"/>
  <c r="R6" i="14"/>
  <c r="R5" i="14"/>
  <c r="R4" i="14"/>
  <c r="R3" i="14"/>
  <c r="O22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I22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4" i="14"/>
  <c r="I3" i="14"/>
  <c r="F22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F4" i="14"/>
  <c r="F3" i="14"/>
  <c r="M37" i="14"/>
  <c r="F34" i="14"/>
  <c r="D34" i="14"/>
  <c r="F33" i="14"/>
  <c r="D33" i="14"/>
  <c r="F32" i="14"/>
  <c r="D32" i="14"/>
  <c r="F31" i="14"/>
  <c r="D31" i="14"/>
  <c r="F30" i="14"/>
  <c r="D30" i="14"/>
  <c r="M29" i="14"/>
  <c r="F29" i="14"/>
  <c r="D29" i="14"/>
  <c r="M28" i="14"/>
  <c r="F28" i="14"/>
  <c r="D28" i="14"/>
  <c r="F27" i="14"/>
  <c r="D27" i="14"/>
  <c r="F26" i="14"/>
  <c r="D26" i="14"/>
  <c r="AE3" i="14"/>
  <c r="M36" i="14" s="1"/>
  <c r="AE5" i="14" l="1"/>
  <c r="D36" i="14" s="1"/>
  <c r="AE6" i="14"/>
  <c r="E36" i="14" s="1"/>
  <c r="AE4" i="14"/>
  <c r="F36" i="14" l="1"/>
  <c r="R19" i="12" l="1"/>
  <c r="O19" i="12"/>
  <c r="L19" i="12"/>
  <c r="I19" i="12"/>
  <c r="F19" i="12"/>
  <c r="R18" i="12"/>
  <c r="O18" i="12"/>
  <c r="L18" i="12"/>
  <c r="I18" i="12"/>
  <c r="F18" i="12"/>
  <c r="R17" i="12"/>
  <c r="O17" i="12"/>
  <c r="L17" i="12"/>
  <c r="I17" i="12"/>
  <c r="F17" i="12"/>
  <c r="M37" i="12"/>
  <c r="F34" i="12"/>
  <c r="D34" i="12"/>
  <c r="F33" i="12"/>
  <c r="D33" i="12"/>
  <c r="F32" i="12"/>
  <c r="D32" i="12"/>
  <c r="F31" i="12"/>
  <c r="D31" i="12"/>
  <c r="F30" i="12"/>
  <c r="D30" i="12"/>
  <c r="M29" i="12"/>
  <c r="F29" i="12"/>
  <c r="D29" i="12"/>
  <c r="M28" i="12"/>
  <c r="F28" i="12"/>
  <c r="D28" i="12"/>
  <c r="F27" i="12"/>
  <c r="D27" i="12"/>
  <c r="F26" i="12"/>
  <c r="D26" i="12"/>
  <c r="R22" i="12"/>
  <c r="O22" i="12"/>
  <c r="L22" i="12"/>
  <c r="I22" i="12"/>
  <c r="F22" i="12"/>
  <c r="R20" i="12"/>
  <c r="O20" i="12"/>
  <c r="L20" i="12"/>
  <c r="I20" i="12"/>
  <c r="F20" i="12"/>
  <c r="R16" i="12"/>
  <c r="O16" i="12"/>
  <c r="L16" i="12"/>
  <c r="I16" i="12"/>
  <c r="F16" i="12"/>
  <c r="R15" i="12"/>
  <c r="O15" i="12"/>
  <c r="L15" i="12"/>
  <c r="I15" i="12"/>
  <c r="F15" i="12"/>
  <c r="R14" i="12"/>
  <c r="O14" i="12"/>
  <c r="L14" i="12"/>
  <c r="I14" i="12"/>
  <c r="F14" i="12"/>
  <c r="R13" i="12"/>
  <c r="O13" i="12"/>
  <c r="L13" i="12"/>
  <c r="I13" i="12"/>
  <c r="F13" i="12"/>
  <c r="R12" i="12"/>
  <c r="O12" i="12"/>
  <c r="L12" i="12"/>
  <c r="I12" i="12"/>
  <c r="F12" i="12"/>
  <c r="R11" i="12"/>
  <c r="O11" i="12"/>
  <c r="L11" i="12"/>
  <c r="I11" i="12"/>
  <c r="F11" i="12"/>
  <c r="R10" i="12"/>
  <c r="O10" i="12"/>
  <c r="L10" i="12"/>
  <c r="I10" i="12"/>
  <c r="F10" i="12"/>
  <c r="R9" i="12"/>
  <c r="O9" i="12"/>
  <c r="L9" i="12"/>
  <c r="I9" i="12"/>
  <c r="F9" i="12"/>
  <c r="R8" i="12"/>
  <c r="O8" i="12"/>
  <c r="L8" i="12"/>
  <c r="I8" i="12"/>
  <c r="F8" i="12"/>
  <c r="R7" i="12"/>
  <c r="O7" i="12"/>
  <c r="L7" i="12"/>
  <c r="I7" i="12"/>
  <c r="F7" i="12"/>
  <c r="R6" i="12"/>
  <c r="O6" i="12"/>
  <c r="L6" i="12"/>
  <c r="I6" i="12"/>
  <c r="F6" i="12"/>
  <c r="R5" i="12"/>
  <c r="O5" i="12"/>
  <c r="L5" i="12"/>
  <c r="I5" i="12"/>
  <c r="F5" i="12"/>
  <c r="R4" i="12"/>
  <c r="O4" i="12"/>
  <c r="L4" i="12"/>
  <c r="I4" i="12"/>
  <c r="F4" i="12"/>
  <c r="V3" i="12"/>
  <c r="M36" i="12" s="1"/>
  <c r="R3" i="12"/>
  <c r="O3" i="12"/>
  <c r="L3" i="12"/>
  <c r="I3" i="12"/>
  <c r="F3" i="12"/>
  <c r="V5" i="12" l="1"/>
  <c r="D36" i="12" s="1"/>
  <c r="V6" i="12"/>
  <c r="E36" i="12" s="1"/>
  <c r="V4" i="12"/>
  <c r="F36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Keller, Jason (FieldCore)</author>
  </authors>
  <commentList>
    <comment ref="I4" authorId="0" shapeId="0" xr:uid="{42D10779-DEA5-4CFA-9704-8D3A6B107CF1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Lvl D, 9% ATS, 8% CR</t>
        </r>
      </text>
    </comment>
    <comment ref="R4" authorId="0" shapeId="0" xr:uid="{53985255-8682-4C04-839C-11ED49621405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2 Lvl D, 4 NM, 1 SW</t>
        </r>
      </text>
    </comment>
    <comment ref="U4" authorId="0" shapeId="0" xr:uid="{EE08D3CA-3B10-435F-B0FE-DAA0BA512C55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2 Lvl D, 1 NM</t>
        </r>
      </text>
    </comment>
    <comment ref="X4" authorId="0" shapeId="0" xr:uid="{7C53A358-8E5D-4AA6-9D50-FCBC636F506E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2 Lvl D</t>
        </r>
      </text>
    </comment>
    <comment ref="AA4" authorId="0" shapeId="0" xr:uid="{8005E3DA-9F52-48B0-A171-8A27E07D6198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2 Lvl B, 3 Lvl D, 1 PSE, 3 NM, 1 SW</t>
        </r>
      </text>
    </comment>
    <comment ref="O5" authorId="0" shapeId="0" xr:uid="{234A18CB-DDCB-4A4A-9A8B-7E6ECFED2672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11% ATS</t>
        </r>
      </text>
    </comment>
    <comment ref="X5" authorId="0" shapeId="0" xr:uid="{377AF30F-B5B6-4784-A42C-627F7C921A48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14% ATS</t>
        </r>
      </text>
    </comment>
    <comment ref="AA5" authorId="0" shapeId="0" xr:uid="{9A75FC6D-31FC-4D48-9CDF-75A51542526E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31% ATS</t>
        </r>
      </text>
    </comment>
    <comment ref="X6" authorId="0" shapeId="0" xr:uid="{B83AB157-F11C-4530-ABFA-C72A9D0AF98D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4 Lvl D</t>
        </r>
      </text>
    </comment>
    <comment ref="R8" authorId="0" shapeId="0" xr:uid="{3F15592C-5CFF-4692-8ECD-03AB03961CA5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3 Lvl C, 1 SW</t>
        </r>
      </text>
    </comment>
    <comment ref="U8" authorId="0" shapeId="0" xr:uid="{E21D27AE-76F7-4361-B5B3-C31AF0722CCB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Lvl C, 2 SW</t>
        </r>
      </text>
    </comment>
    <comment ref="X8" authorId="0" shapeId="0" xr:uid="{3E96248E-C0B4-4A62-964B-A7708BDF0022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Lvl C, 2 Lvl D, 5 NM, 6% ATS</t>
        </r>
      </text>
    </comment>
    <comment ref="I9" authorId="0" shapeId="0" xr:uid="{D3BE067A-64C8-4C19-BD50-17913CC38427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2 Lvl C, 2 Lvl D, 1 SW</t>
        </r>
      </text>
    </comment>
    <comment ref="R9" authorId="0" shapeId="0" xr:uid="{DD968304-3D0C-46F8-8984-06AC3CA9EC3D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7 Lvl D, 3 NM</t>
        </r>
      </text>
    </comment>
    <comment ref="U9" authorId="0" shapeId="0" xr:uid="{07F4F91E-ADA8-4FBA-9CBF-7A2EF23407C9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PSE, 1 NM</t>
        </r>
      </text>
    </comment>
    <comment ref="F10" authorId="0" shapeId="0" xr:uid="{4731D682-04CF-4A0D-BFC1-19A667840409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2 Lvl D, 10% ATS</t>
        </r>
      </text>
    </comment>
    <comment ref="O10" authorId="0" shapeId="0" xr:uid="{597BC69C-B533-43D5-9D53-76B4C779A52F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Lvl D, 11% ATS</t>
        </r>
      </text>
    </comment>
    <comment ref="R10" authorId="0" shapeId="0" xr:uid="{866F1EB9-684F-4519-9DE1-FA963DC173EF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2 Lvl C, 4 Lvl D, 2 PSE, 17 NM, 4 SW</t>
        </r>
      </text>
    </comment>
    <comment ref="U10" authorId="0" shapeId="0" xr:uid="{FC2DD332-549D-4F02-A2B0-3151E75E2749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2 Lvl D, 11 NM, 1 SW</t>
        </r>
      </text>
    </comment>
    <comment ref="AA10" authorId="0" shapeId="0" xr:uid="{F708D8E2-34B1-466A-850E-418FAA01A040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Lvl D, 2 PSE, 1 NM</t>
        </r>
      </text>
    </comment>
    <comment ref="R11" authorId="0" shapeId="0" xr:uid="{D0516077-5EC1-4BB9-82F4-AB5F3BA9EB7D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2 PSE, 4 NM, 1 SW</t>
        </r>
      </text>
    </comment>
    <comment ref="R12" authorId="0" shapeId="0" xr:uid="{EA374EE4-B460-444E-9E90-FAC65D8CDC0F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Lvl C, 1 Lvl D, 1 NM</t>
        </r>
      </text>
    </comment>
    <comment ref="X12" authorId="0" shapeId="0" xr:uid="{6CDE0183-5C7F-413A-ABFB-6B84C85ABF19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Lvl D, 11% ATS</t>
        </r>
      </text>
    </comment>
    <comment ref="AA12" authorId="0" shapeId="0" xr:uid="{6567875B-899A-4F0F-B390-D3760F4FA949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2 Lvl D</t>
        </r>
      </text>
    </comment>
    <comment ref="R13" authorId="0" shapeId="0" xr:uid="{DFC09A59-C593-4AAC-B16F-942A68AAB9D1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2 Lvl D, 1 NM</t>
        </r>
      </text>
    </comment>
    <comment ref="U13" authorId="0" shapeId="0" xr:uid="{B84B68D6-E52F-4BC5-99B7-CF24725ECF4D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Lvl C, 1 Lvl D</t>
        </r>
      </text>
    </comment>
    <comment ref="AA13" authorId="0" shapeId="0" xr:uid="{E4650680-90DB-4DE7-A2E4-BD1FC504291B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6 Lvl D, 1 NM, </t>
        </r>
      </text>
    </comment>
    <comment ref="R14" authorId="0" shapeId="0" xr:uid="{C01AB062-BE58-4CEA-82EC-83EEA5DEF0FD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2 Lvl C, 7 Lvl D</t>
        </r>
      </text>
    </comment>
    <comment ref="U14" authorId="0" shapeId="0" xr:uid="{30BEE4EB-806C-44DD-ABC3-F159CC965965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3 Lvl D</t>
        </r>
      </text>
    </comment>
    <comment ref="AA14" authorId="0" shapeId="0" xr:uid="{8D25A529-3E86-46FE-9CAE-57723CFDF4A7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Lvl D, 7% ATS</t>
        </r>
      </text>
    </comment>
    <comment ref="F15" authorId="0" shapeId="0" xr:uid="{659A3872-9C70-4383-9FC6-B35034B740B8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Lvl B, 1 Lvl D</t>
        </r>
      </text>
    </comment>
    <comment ref="I15" authorId="0" shapeId="0" xr:uid="{84FD2DC4-73D1-4202-A53B-2B27F2D90434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Lvl C</t>
        </r>
      </text>
    </comment>
    <comment ref="O15" authorId="0" shapeId="0" xr:uid="{D66F2A8A-0CA6-42D3-8774-7DAC08704B90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Lvl B, 1 Lvl D, 1 PSE</t>
        </r>
      </text>
    </comment>
    <comment ref="R15" authorId="0" shapeId="0" xr:uid="{B2F263D6-2FC5-41FD-BDF7-EA0DB9FD96B1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2 Lvl B, 15 Lvl C, 28 Lvl D, 2 PSE, 3 NM</t>
        </r>
      </text>
    </comment>
    <comment ref="U15" authorId="0" shapeId="0" xr:uid="{04F806EB-4943-4991-B55E-64F260462F14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8 Lvl C, 6 Lvl D, 1 PSE</t>
        </r>
      </text>
    </comment>
    <comment ref="X15" authorId="0" shapeId="0" xr:uid="{1ED91E0C-B48C-401D-85A3-AB346E50C91C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Lvl C, 5 Lvl D, 2 NM</t>
        </r>
      </text>
    </comment>
    <comment ref="AA15" authorId="0" shapeId="0" xr:uid="{49E35039-0B9D-484D-949C-B9465F201175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Lvl C, 6 Lvl D, 1 NM</t>
        </r>
      </text>
    </comment>
    <comment ref="R16" authorId="0" shapeId="0" xr:uid="{CE6216E9-DDEB-4F07-B0C2-0635B2DF4E91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3 Lvl D, 3 NM</t>
        </r>
      </text>
    </comment>
    <comment ref="X16" authorId="0" shapeId="0" xr:uid="{4C18D569-BEC8-49A1-8268-D0444178D3F8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2 Lvl D, 3 NM</t>
        </r>
      </text>
    </comment>
    <comment ref="AA16" authorId="0" shapeId="0" xr:uid="{B47BF9C4-1C89-4F6E-B0E2-D6F4C0555AEE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Lvl A, 3 Lvl D</t>
        </r>
      </text>
    </comment>
    <comment ref="R17" authorId="0" shapeId="0" xr:uid="{50453923-5832-4CD8-95A4-8480917765C4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2 NM, 7% CR</t>
        </r>
      </text>
    </comment>
    <comment ref="U17" authorId="0" shapeId="0" xr:uid="{AC2D87D0-BA26-420F-85A8-78003D715EC6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3 NM</t>
        </r>
      </text>
    </comment>
    <comment ref="O18" authorId="0" shapeId="0" xr:uid="{127DC17D-E3A8-4FCA-A26E-023E21BE9870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NM, 11% ATS</t>
        </r>
      </text>
    </comment>
    <comment ref="R18" authorId="0" shapeId="0" xr:uid="{2DD2D0C5-68B6-4628-B59E-90EA6C379D5E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Lvl C, 3 Lvl D, 1 PSE, 10 NM</t>
        </r>
      </text>
    </comment>
    <comment ref="U18" authorId="0" shapeId="0" xr:uid="{B508107E-6BCB-4991-B081-A2134F19C100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3 NM, 1 SW</t>
        </r>
      </text>
    </comment>
    <comment ref="X18" authorId="0" shapeId="0" xr:uid="{15EE9687-18DF-4F67-BEB6-77325F229AA4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3 NM, 10% ATS, 13% CR (6 Esc)</t>
        </r>
      </text>
    </comment>
    <comment ref="AA18" authorId="0" shapeId="0" xr:uid="{5BD8D1F7-79E1-4D82-9D7C-9335944602FD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2 Lvl D, 2 SW</t>
        </r>
      </text>
    </comment>
    <comment ref="F19" authorId="0" shapeId="0" xr:uid="{3DCA8A47-122D-4122-BF58-ED869E251BB2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13% ATS, 7% CR</t>
        </r>
      </text>
    </comment>
    <comment ref="L19" authorId="0" shapeId="0" xr:uid="{63F7A16B-58C4-4477-A920-73F968199D5D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2 Lvl D</t>
        </r>
      </text>
    </comment>
    <comment ref="R19" authorId="0" shapeId="0" xr:uid="{98C7EF02-8717-46E9-A49F-A7FC46EDE9D0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8 Lvl C, 19 Lvl D 3 NM</t>
        </r>
      </text>
    </comment>
    <comment ref="U19" authorId="0" shapeId="0" xr:uid="{CDFF147C-0337-44F3-8699-C92FE74F6291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Lvl C, 6 Lvl D, 1 NM</t>
        </r>
      </text>
    </comment>
    <comment ref="X19" authorId="0" shapeId="0" xr:uid="{15095818-FDB1-4D0B-BEBE-57B11E677534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2 Lvl D, </t>
        </r>
      </text>
    </comment>
    <comment ref="AA19" authorId="0" shapeId="0" xr:uid="{A29B1C7F-767C-459C-8270-14FAF0209C2F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Lvl B, 1 Lvl C, 6 Lvl D, 5 NM</t>
        </r>
      </text>
    </comment>
    <comment ref="AA20" authorId="0" shapeId="0" xr:uid="{60FAACD4-3251-475C-8D76-A70CD3D633C9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Lvl D, 1 PSE, 2 NM, 3 SW</t>
        </r>
      </text>
    </comment>
    <comment ref="R21" authorId="0" shapeId="0" xr:uid="{EEECC69D-4F76-4307-9DB9-2672EBA03458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Lvl D, 1 PSE, 6 NM</t>
        </r>
      </text>
    </comment>
    <comment ref="U21" authorId="0" shapeId="0" xr:uid="{8533D3F3-A911-433A-AFB4-63CDB2FEFFC0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3 NM, 2 PSE, 4 NM</t>
        </r>
      </text>
    </comment>
    <comment ref="AA21" authorId="0" shapeId="0" xr:uid="{C1294149-8FBB-4CAB-A004-4ECB89264523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Lvl D, 4 NM</t>
        </r>
      </text>
    </comment>
    <comment ref="O22" authorId="0" shapeId="0" xr:uid="{C99172B9-1C69-44B0-92D8-AEC20D2D5E90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Lvl C, 8% ATS</t>
        </r>
      </text>
    </comment>
    <comment ref="R22" authorId="0" shapeId="0" xr:uid="{49CB44BD-5662-488D-B512-52BB919ED7FB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2 Lvl C, 2 Lvl D, 2 PSE, 1 NM</t>
        </r>
      </text>
    </comment>
    <comment ref="U22" authorId="0" shapeId="0" xr:uid="{82A1655A-BE49-4E12-89BA-E5E49872CF67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PSE</t>
        </r>
      </text>
    </comment>
    <comment ref="AA22" authorId="0" shapeId="0" xr:uid="{C5E4066F-0EB5-451F-8BD2-7E36E953F345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Lvl D, 1 PSE, 4 NM, 2 SW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Keller, Jason (FieldCore)</author>
  </authors>
  <commentList>
    <comment ref="R3" authorId="0" shapeId="0" xr:uid="{79C22584-7430-4C6E-B2D0-C74F092794A5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Lvl D, 1 NM, 1 SW</t>
        </r>
      </text>
    </comment>
    <comment ref="F4" authorId="0" shapeId="0" xr:uid="{AAF642F4-4CF9-4E41-B1B9-9E4FEF7B3147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NM, 6% ATS, 4% CR</t>
        </r>
      </text>
    </comment>
    <comment ref="I4" authorId="0" shapeId="0" xr:uid="{0E25685F-4DE3-41B8-94EB-3EAB6D6C5DBA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4 Lvl D, 3 NM</t>
        </r>
      </text>
    </comment>
    <comment ref="L4" authorId="0" shapeId="0" xr:uid="{30BD9D42-A680-4176-9812-14C64500FB1D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3 NM, 1 SW</t>
        </r>
      </text>
    </comment>
    <comment ref="O4" authorId="0" shapeId="0" xr:uid="{5B725A24-DE08-42F6-8577-A25849FF1DD5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2 Lvl D, 1 NM</t>
        </r>
      </text>
    </comment>
    <comment ref="R4" authorId="0" shapeId="0" xr:uid="{7713C7C4-F608-4A8D-A43C-2A409539892E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2 Lvl B, 4 Lvl D, 1 PSE, 1 NM, 1 SW</t>
        </r>
      </text>
    </comment>
    <comment ref="I5" authorId="0" shapeId="0" xr:uid="{E0E73FF1-C5FE-423B-AE46-3D05B25F6B00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15% ATS</t>
        </r>
      </text>
    </comment>
    <comment ref="L5" authorId="0" shapeId="0" xr:uid="{60A832C3-3F2E-45ED-87F8-F1AAD66E3044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17% ATS</t>
        </r>
      </text>
    </comment>
    <comment ref="R5" authorId="0" shapeId="0" xr:uid="{3ADCA72C-8E62-412A-A133-D69C0E5E9655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20% ATS</t>
        </r>
      </text>
    </comment>
    <comment ref="R6" authorId="0" shapeId="0" xr:uid="{6F96B799-80F4-4448-894B-C73B0CE16DD3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6 Lvl D</t>
        </r>
      </text>
    </comment>
    <comment ref="L7" authorId="0" shapeId="0" xr:uid="{B8328B4B-F8F9-452C-9A1E-3AED4BD350E9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Lvl D, 2 NM</t>
        </r>
      </text>
    </comment>
    <comment ref="F8" authorId="0" shapeId="0" xr:uid="{F4CA1753-3F01-40D1-9A23-3F391611EED1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Lvl C, 1 Lvl D</t>
        </r>
      </text>
    </comment>
    <comment ref="L8" authorId="0" shapeId="0" xr:uid="{5967661B-BDC0-47F9-9A07-68ADA595C897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Lvl C, 7% ATS</t>
        </r>
      </text>
    </comment>
    <comment ref="O8" authorId="0" shapeId="0" xr:uid="{EF9FBF6F-709E-4C0C-B57F-E38254D8D884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Lvl C</t>
        </r>
      </text>
    </comment>
    <comment ref="R8" authorId="0" shapeId="0" xr:uid="{D20A495F-2B11-4297-B063-E08D5DD475E9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2 Lvl C, 2 Lvl D, 5 NM, 2 SW</t>
        </r>
      </text>
    </comment>
    <comment ref="I9" authorId="0" shapeId="0" xr:uid="{4A981AD9-0B46-49E2-837A-AFAAC6738AAC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3 Lvl D, 3 NM</t>
        </r>
      </text>
    </comment>
    <comment ref="L9" authorId="0" shapeId="0" xr:uid="{220958E1-D4BC-43BC-8474-8BC790CD0D46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2 Lvl D, 1 PSE</t>
        </r>
      </text>
    </comment>
    <comment ref="O9" authorId="0" shapeId="0" xr:uid="{C16390E2-2C65-4FA6-A253-C12F39FE0440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2 Lvl C, 4 Lvl D, 1 SW</t>
        </r>
      </text>
    </comment>
    <comment ref="R9" authorId="0" shapeId="0" xr:uid="{B363A794-CD69-4492-A99E-37084A53A071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2 Lvl D</t>
        </r>
      </text>
    </comment>
    <comment ref="F10" authorId="0" shapeId="0" xr:uid="{724A8D58-4D11-40CA-8E43-EF8EE46B4DDC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Lvl C, 1 Lvl D, 1 PSE, 4 NM</t>
        </r>
      </text>
    </comment>
    <comment ref="I10" authorId="0" shapeId="0" xr:uid="{DE6F4796-649A-403F-9FD5-2FC4FC508811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5 Lvl D, 15 NM, 5 SW</t>
        </r>
      </text>
    </comment>
    <comment ref="L10" authorId="0" shapeId="0" xr:uid="{AAC61517-9DA8-49BB-A79F-9FBCD00A83FA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Lvl C, 1 Lvl D, 4 NM</t>
        </r>
      </text>
    </comment>
    <comment ref="O10" authorId="0" shapeId="0" xr:uid="{E3B589B8-8D51-4BEF-8771-75DD32F36782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PSE</t>
        </r>
      </text>
    </comment>
    <comment ref="R10" authorId="0" shapeId="0" xr:uid="{A6ADC7B4-73DE-41DF-B7A9-3C2211455219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3 Lvl D, 2 PSE, 6 NM</t>
        </r>
      </text>
    </comment>
    <comment ref="I11" authorId="0" shapeId="0" xr:uid="{C7214629-B554-4DE1-B10E-47119C6083D2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NM, 3 SW</t>
        </r>
      </text>
    </comment>
    <comment ref="R11" authorId="0" shapeId="0" xr:uid="{5995E900-07D0-4F06-A7AC-710843F3541D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PSE, 1 NM</t>
        </r>
      </text>
    </comment>
    <comment ref="R12" authorId="0" shapeId="0" xr:uid="{EDA37A59-3A77-4284-8F77-16184F469E71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Lvl C, 3 Lvl D</t>
        </r>
      </text>
    </comment>
    <comment ref="I13" authorId="0" shapeId="0" xr:uid="{D8999A2F-845E-4233-8DB0-66D3D8992755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Lvl C, 1 Lvl D, 1 NM</t>
        </r>
      </text>
    </comment>
    <comment ref="O13" authorId="0" shapeId="0" xr:uid="{E63FE1F3-97E5-46C1-9F11-05AD84F61C5C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2 Lvl D</t>
        </r>
      </text>
    </comment>
    <comment ref="R13" authorId="0" shapeId="0" xr:uid="{73E46D80-E854-4A0C-83C1-0B6270BE80F2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7 Lvl D</t>
        </r>
      </text>
    </comment>
    <comment ref="I14" authorId="0" shapeId="0" xr:uid="{A4886118-8420-41BD-80D1-D5DBF34FEDB2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3 Lvl D, 9% CR</t>
        </r>
      </text>
    </comment>
    <comment ref="L14" authorId="0" shapeId="0" xr:uid="{4A6EAB65-49D1-4E68-8F25-558BBE0B1083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4 Lvl D</t>
        </r>
      </text>
    </comment>
    <comment ref="O14" authorId="0" shapeId="0" xr:uid="{47787FE0-CB1A-45C0-9378-ED3E1079D48D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Lvl C, 3 Lvl D, 7% ATS, 12% CR</t>
        </r>
      </text>
    </comment>
    <comment ref="R14" authorId="0" shapeId="0" xr:uid="{83F7F5C2-5864-4A07-975E-D4DE849AEB54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Lvl C, 3 Lvl D</t>
        </r>
      </text>
    </comment>
    <comment ref="F15" authorId="0" shapeId="0" xr:uid="{3CAFA060-33CA-46C2-8C59-280FF09668E6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Lvl B, 4 Lvl C, 3 Lvl D, 1 PSE, 1 NM</t>
        </r>
      </text>
    </comment>
    <comment ref="I15" authorId="0" shapeId="0" xr:uid="{EAAC8F7A-2D72-40F2-8282-8D7965502490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2 Lvl B, 4 Lvl C, 5 Lvl D, 1 PSE, 1 NM</t>
        </r>
      </text>
    </comment>
    <comment ref="L15" authorId="0" shapeId="0" xr:uid="{C4B32CCA-833A-4CFE-A084-DF0517C2AE78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10 Lvl C, 17 Lvl D, 1 NM</t>
        </r>
      </text>
    </comment>
    <comment ref="O15" authorId="0" shapeId="0" xr:uid="{94F6140D-63CE-4220-9A6D-A52D40089204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2 Lvl C, 7 Lvl D</t>
        </r>
      </text>
    </comment>
    <comment ref="R15" authorId="0" shapeId="0" xr:uid="{5CB2F767-3F87-4297-9D0F-C4FE22960069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Lvl B, 7 Lvl C, 17 Lvl D, 2 PSE, 3 NM</t>
        </r>
      </text>
    </comment>
    <comment ref="I16" authorId="0" shapeId="0" xr:uid="{9F93CC9C-CB39-4104-8CEB-3D498C1227F0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5 NM</t>
        </r>
      </text>
    </comment>
    <comment ref="L16" authorId="0" shapeId="0" xr:uid="{F4BD57F2-EA9F-4C80-B85E-95927EB1E411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Lvl A</t>
        </r>
      </text>
    </comment>
    <comment ref="R16" authorId="0" shapeId="0" xr:uid="{19DCCFA4-83D3-4006-B630-CF620437921A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7 Lvl D, 2 NM</t>
        </r>
      </text>
    </comment>
    <comment ref="O17" authorId="0" shapeId="0" xr:uid="{A1075E75-CE51-4A13-BE0C-CDFFDB1ACA77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3 NM, 1 SW</t>
        </r>
      </text>
    </comment>
    <comment ref="F18" authorId="0" shapeId="0" xr:uid="{78ED210F-5A06-4315-AFC8-1BC5D227E5BA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4 NM, 9% ATS, 15 % CR</t>
        </r>
      </text>
    </comment>
    <comment ref="I18" authorId="0" shapeId="0" xr:uid="{4D3E89EB-7C3B-45CA-961B-80BDFFA7F80B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Lvl D, 4 NM, 1 SW</t>
        </r>
      </text>
    </comment>
    <comment ref="L18" authorId="0" shapeId="0" xr:uid="{9E8F0653-C71A-4BAF-B155-2D405917903A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Lvl C, 5 NM</t>
        </r>
      </text>
    </comment>
    <comment ref="R18" authorId="0" shapeId="0" xr:uid="{8A553A78-557D-447E-A042-F336F7DD6B0D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4 Lvl D, 1 PSE, 4 NM, 2 SW</t>
        </r>
      </text>
    </comment>
    <comment ref="F19" authorId="0" shapeId="0" xr:uid="{EBF16598-456D-4E95-8062-0AF0B192CAC0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2 Lvl D, 2 NM</t>
        </r>
      </text>
    </comment>
    <comment ref="I19" authorId="0" shapeId="0" xr:uid="{67450C1A-E85E-4C45-9D20-E9526833C173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 9 Lvl D, 1 NM</t>
        </r>
      </text>
    </comment>
    <comment ref="L19" authorId="0" shapeId="0" xr:uid="{AE8760FC-B6AB-4B83-8A71-8E53F2B80C8E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Lvl B, 7 Lvl C, 5 Lvl D, 1 NM</t>
        </r>
      </text>
    </comment>
    <comment ref="O19" authorId="0" shapeId="0" xr:uid="{A6D09FED-4E06-4C47-B078-91EB88CD50DD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2 Lvl C, 5 Lvl D, 1 NM</t>
        </r>
      </text>
    </comment>
    <comment ref="R19" authorId="0" shapeId="0" xr:uid="{C11ADA59-10CF-4246-ADE6-F4BF763843D7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Lvl C, 15 Lvl D, 6 NM</t>
        </r>
      </text>
    </comment>
    <comment ref="R20" authorId="0" shapeId="0" xr:uid="{9F512A68-138F-4122-98B8-6CC0D8CA57DD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Lvl D, 1 PSE, 2 NM, 3 SW</t>
        </r>
      </text>
    </comment>
    <comment ref="I21" authorId="0" shapeId="0" xr:uid="{40A7D7E5-AA9F-4C90-806E-FD540C6F0017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2 PSE, 6 NM, 4 SW</t>
        </r>
      </text>
    </comment>
    <comment ref="L21" authorId="0" shapeId="0" xr:uid="{018DF856-EBE9-41C2-890A-89E537790028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PSE, 3 NM</t>
        </r>
      </text>
    </comment>
    <comment ref="R21" authorId="0" shapeId="0" xr:uid="{2E1A51D6-820E-4CC9-AF91-77C47BBC696C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Lvl D, 7 NM</t>
        </r>
      </text>
    </comment>
    <comment ref="F22" authorId="0" shapeId="0" xr:uid="{C57C9A42-D8B9-4052-9822-8C830E731C66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Lvl C, 1 NM</t>
        </r>
      </text>
    </comment>
    <comment ref="I22" authorId="0" shapeId="0" xr:uid="{C0E6AFC4-415E-48C1-A9DD-4D4FB9E162E7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2 Lvl C</t>
        </r>
      </text>
    </comment>
    <comment ref="L22" authorId="0" shapeId="0" xr:uid="{DC754403-8337-4853-89F6-0C13FA68D3D3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Lvl D, 2 PSE, 1 NM</t>
        </r>
      </text>
    </comment>
    <comment ref="O22" authorId="0" shapeId="0" xr:uid="{7E84AA83-5184-4A76-B0DC-ECFE840DD454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1 PSE</t>
        </r>
      </text>
    </comment>
    <comment ref="R22" authorId="0" shapeId="0" xr:uid="{F5F7AB5D-0BB4-42C6-B035-A0F096B5E313}">
      <text>
        <r>
          <rPr>
            <b/>
            <sz val="9"/>
            <color indexed="81"/>
            <rFont val="Tahoma"/>
            <family val="2"/>
          </rPr>
          <t>Keller, Jason (FieldCore):</t>
        </r>
        <r>
          <rPr>
            <sz val="9"/>
            <color indexed="81"/>
            <rFont val="Tahoma"/>
            <family val="2"/>
          </rPr>
          <t xml:space="preserve">
2 Lvl D, 1 PSE, 3 NM, 2 SW</t>
        </r>
      </text>
    </comment>
  </commentList>
</comments>
</file>

<file path=xl/sharedStrings.xml><?xml version="1.0" encoding="utf-8"?>
<sst xmlns="http://schemas.openxmlformats.org/spreadsheetml/2006/main" count="222" uniqueCount="125">
  <si>
    <t xml:space="preserve">FC GP RISK REGISTER </t>
  </si>
  <si>
    <t>Hazard of Concern</t>
  </si>
  <si>
    <t>APAC
Severity</t>
  </si>
  <si>
    <t>APAC 
Frequency</t>
  </si>
  <si>
    <t>APAC 
Risk</t>
  </si>
  <si>
    <t>EU
Severity</t>
  </si>
  <si>
    <t>EU 
Frequency</t>
  </si>
  <si>
    <t>EU 
Risk</t>
  </si>
  <si>
    <t>LATAM
Severity</t>
  </si>
  <si>
    <t>LATAM 
Frequency</t>
  </si>
  <si>
    <t>LATAM 
Risk</t>
  </si>
  <si>
    <t>MEA
Severity</t>
  </si>
  <si>
    <t>MEA
Frequency</t>
  </si>
  <si>
    <t>MEA
Risk</t>
  </si>
  <si>
    <t>NAM
Severity</t>
  </si>
  <si>
    <t>NAM 
Frequency</t>
  </si>
  <si>
    <t>NAM 
Risk</t>
  </si>
  <si>
    <t>Global
Severity
TRA</t>
  </si>
  <si>
    <t>Global
Frequency
TRA</t>
  </si>
  <si>
    <t>Global
Risk
TRA</t>
  </si>
  <si>
    <t>Use of Tooling</t>
  </si>
  <si>
    <t>Pinch Point / Sharp Objects</t>
  </si>
  <si>
    <t>Walking Surfaces</t>
  </si>
  <si>
    <t>Lifting Operations</t>
  </si>
  <si>
    <t>Motor Vehicle Operations</t>
  </si>
  <si>
    <t>Motor Vehicle Safety</t>
  </si>
  <si>
    <t>Pinch Point / LOF</t>
  </si>
  <si>
    <t>Walking Working Surfaces</t>
  </si>
  <si>
    <t>Oil Spill</t>
  </si>
  <si>
    <t>Personal Protective Equip (PPE)</t>
  </si>
  <si>
    <t>Manual Handling / Ergo</t>
  </si>
  <si>
    <t>Dropped Objects</t>
  </si>
  <si>
    <t>Dust, Grit &amp; Fume</t>
  </si>
  <si>
    <t>Electrical</t>
  </si>
  <si>
    <t>Working at Heights</t>
  </si>
  <si>
    <t>Powered Industrial Vehicles</t>
  </si>
  <si>
    <t>Uncontrolled Energy (LOTO)</t>
  </si>
  <si>
    <t>Hazardous Substances</t>
  </si>
  <si>
    <t xml:space="preserve">RISK REGISTER </t>
  </si>
  <si>
    <t>Aero
Severity</t>
  </si>
  <si>
    <t>Aero 
Frequency</t>
  </si>
  <si>
    <t>Aero 
Risk</t>
  </si>
  <si>
    <t>Hydro
Severity</t>
  </si>
  <si>
    <t>Hydro
Frequency</t>
  </si>
  <si>
    <t>Hydro 
Risk</t>
  </si>
  <si>
    <t>Nuclear
Severity</t>
  </si>
  <si>
    <t>Nuclear 
Frequency</t>
  </si>
  <si>
    <t>Nuclear
Risk</t>
  </si>
  <si>
    <t>O&amp;G
Severity</t>
  </si>
  <si>
    <t>O&amp;G
Frequency</t>
  </si>
  <si>
    <t>O&amp;G 
Risk</t>
  </si>
  <si>
    <t>PS Rotating
Severity</t>
  </si>
  <si>
    <t>PS Rotating 
Frequency</t>
  </si>
  <si>
    <t>PS Rotating 
Risk</t>
  </si>
  <si>
    <t>Steam
Severity</t>
  </si>
  <si>
    <t>Steam 
Frequency</t>
  </si>
  <si>
    <t>Steam 
Risk</t>
  </si>
  <si>
    <t>Tooling Centers
Severity</t>
  </si>
  <si>
    <t>Tooling Centers 
Frequency</t>
  </si>
  <si>
    <t>Tooling Centers 
Risk</t>
  </si>
  <si>
    <t>Wind
Severity</t>
  </si>
  <si>
    <t>Wind 
Frequency</t>
  </si>
  <si>
    <t>Wind 
Risk</t>
  </si>
  <si>
    <t>Frequency Score</t>
  </si>
  <si>
    <t>Animals / Insects</t>
  </si>
  <si>
    <t>Electricity</t>
  </si>
  <si>
    <t>Emergency Response</t>
  </si>
  <si>
    <t>Ergo/MSD</t>
  </si>
  <si>
    <t>Fire/Smoke</t>
  </si>
  <si>
    <t>Hot Work</t>
  </si>
  <si>
    <t>Manual Handling</t>
  </si>
  <si>
    <t>Inadequate/Defective PPE</t>
  </si>
  <si>
    <t>Pinch Point/Line of Fire / Sharp Objects</t>
  </si>
  <si>
    <t>Scaffolding</t>
  </si>
  <si>
    <t>Walking / Working Surfaces</t>
  </si>
  <si>
    <t>Weather</t>
  </si>
  <si>
    <t>S</t>
  </si>
  <si>
    <t>F</t>
  </si>
  <si>
    <t>ATS Contribution Calculator</t>
  </si>
  <si>
    <t>Number of Level A</t>
  </si>
  <si>
    <t>Regional Number of Concerns for Hazard</t>
  </si>
  <si>
    <t>Number of Level B</t>
  </si>
  <si>
    <t>Total Number of Concerns by Hazard</t>
  </si>
  <si>
    <t>Number of Level C</t>
  </si>
  <si>
    <t>Number of Level D</t>
  </si>
  <si>
    <t>Number of PSE</t>
  </si>
  <si>
    <t>Number of NM</t>
  </si>
  <si>
    <t>Concern Report Contribution Calculator</t>
  </si>
  <si>
    <t>Number of STOP Work</t>
  </si>
  <si>
    <t>Regional Number of Adverse Concerns for Hazard</t>
  </si>
  <si>
    <t>Ratio of CR</t>
  </si>
  <si>
    <t>Regional Number of Postive Concerns for Hazard</t>
  </si>
  <si>
    <t>Ratio of ATS</t>
  </si>
  <si>
    <t>Total Number of Escalated to ATS Concerns for Hazard</t>
  </si>
  <si>
    <t>R</t>
  </si>
  <si>
    <t>AIM
Severity</t>
  </si>
  <si>
    <t>AIM 
Frequency</t>
  </si>
  <si>
    <t>AIM 
Risk</t>
  </si>
  <si>
    <t>Lifting Operations/ Mechanical Lifting -LSR</t>
  </si>
  <si>
    <t>Hydraulic Tools / Jacks</t>
  </si>
  <si>
    <r>
      <t xml:space="preserve">Manual Handling </t>
    </r>
    <r>
      <rPr>
        <sz val="12"/>
        <rFont val="Calibri"/>
        <family val="2"/>
        <scheme val="minor"/>
      </rPr>
      <t>(Ergonomics)</t>
    </r>
  </si>
  <si>
    <t>Walking Working Surfaces / Fall Same Levels</t>
  </si>
  <si>
    <t>Hand &amp; Power Tools</t>
  </si>
  <si>
    <t xml:space="preserve">PPE </t>
  </si>
  <si>
    <t xml:space="preserve">Scaffolding </t>
  </si>
  <si>
    <t>Driving Safety/ Motor Vehicle/ Pedestrian and Vehicle Traffic Management</t>
  </si>
  <si>
    <t xml:space="preserve">Dropped Objects </t>
  </si>
  <si>
    <t>Electrical Safety -LSR/Live Electrical</t>
  </si>
  <si>
    <t>Debris, Dust, Fume or Grit (Foreing material / flying particles)</t>
  </si>
  <si>
    <t>Lock Out Tag Out (LOTO)/ Energy Isolation - LSR</t>
  </si>
  <si>
    <t xml:space="preserve">Working with Contractor </t>
  </si>
  <si>
    <t>Forklift and Material Handling</t>
  </si>
  <si>
    <t>Line of Fire -LSR</t>
  </si>
  <si>
    <t>Confined Space -LSR</t>
  </si>
  <si>
    <t>Spill / Release</t>
  </si>
  <si>
    <t xml:space="preserve">Fire prevention &amp; Protection </t>
  </si>
  <si>
    <t>Hot work / Hot Surfaces</t>
  </si>
  <si>
    <t>Pinch Point/Sharp Objects</t>
  </si>
  <si>
    <t>Extreme Weather</t>
  </si>
  <si>
    <t>Hazardous substances/Chemicals/IH</t>
  </si>
  <si>
    <t>Animals/Insects</t>
  </si>
  <si>
    <t>System or Procedure Violations</t>
  </si>
  <si>
    <t>ASIA
Severity</t>
  </si>
  <si>
    <t>ASIA
Frequency</t>
  </si>
  <si>
    <t>ASIA
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</si>
</sst>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Montserrat"/>
    </font>
    <font>
      <b/>
      <sz val="10"/>
      <color rgb="FF000000"/>
      <name val="Montserrat"/>
    </font>
    <font>
      <sz val="10"/>
      <color rgb="FF000000"/>
      <name val="Montserrat"/>
    </font>
    <font>
      <b/>
      <sz val="10"/>
      <color theme="1"/>
      <name val="Montserrat"/>
    </font>
    <font>
      <sz val="10"/>
      <color theme="0"/>
      <name val="Montserrat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name val="Montserrat"/>
    </font>
    <font>
      <b/>
      <sz val="22"/>
      <name val="Montserrat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gradientFill degree="90">
        <stop position="0">
          <color theme="0"/>
        </stop>
        <stop position="1">
          <color theme="3" tint="0.59999389629810485"/>
        </stop>
      </gradient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5" fillId="0" borderId="0"/>
    <xf numFmtId="0" fontId="3" fillId="0" borderId="0"/>
    <xf numFmtId="0" fontId="2" fillId="0" borderId="0"/>
    <xf numFmtId="0" fontId="2" fillId="0" borderId="0"/>
    <xf numFmtId="0" fontId="15" fillId="0" borderId="0"/>
    <xf numFmtId="0" fontId="1" fillId="0" borderId="0"/>
  </cellStyleXfs>
  <cellXfs count="106">
    <xf numFmtId="0" fontId="0" fillId="0" borderId="0" xfId="0"/>
    <xf numFmtId="0" fontId="6" fillId="0" borderId="0" xfId="0" applyFont="1" applyAlignment="1">
      <alignment horizontal="left" vertical="center" wrapText="1" indent="1"/>
    </xf>
    <xf numFmtId="0" fontId="6" fillId="0" borderId="0" xfId="0" applyFont="1"/>
    <xf numFmtId="0" fontId="6" fillId="0" borderId="2" xfId="0" applyFont="1" applyBorder="1"/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wrapText="1"/>
    </xf>
    <xf numFmtId="0" fontId="0" fillId="0" borderId="7" xfId="0" applyBorder="1"/>
    <xf numFmtId="0" fontId="0" fillId="0" borderId="9" xfId="0" applyBorder="1"/>
    <xf numFmtId="0" fontId="0" fillId="0" borderId="8" xfId="0" applyBorder="1"/>
    <xf numFmtId="0" fontId="10" fillId="0" borderId="0" xfId="0" applyFont="1" applyAlignment="1">
      <alignment horizontal="left" vertical="center" indent="1"/>
    </xf>
    <xf numFmtId="0" fontId="6" fillId="0" borderId="1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9" fillId="2" borderId="14" xfId="0" applyFont="1" applyFill="1" applyBorder="1" applyAlignment="1" applyProtection="1">
      <alignment horizontal="center" vertical="center" wrapText="1"/>
      <protection locked="0"/>
    </xf>
    <xf numFmtId="0" fontId="9" fillId="2" borderId="23" xfId="0" applyFont="1" applyFill="1" applyBorder="1" applyAlignment="1" applyProtection="1">
      <alignment horizontal="center" vertical="center" wrapText="1"/>
      <protection locked="0"/>
    </xf>
    <xf numFmtId="0" fontId="9" fillId="2" borderId="19" xfId="0" applyFont="1" applyFill="1" applyBorder="1" applyAlignment="1" applyProtection="1">
      <alignment horizontal="center" vertical="center" wrapText="1"/>
      <protection locked="0"/>
    </xf>
    <xf numFmtId="0" fontId="9" fillId="2" borderId="14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6" fillId="0" borderId="10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" fontId="0" fillId="0" borderId="6" xfId="0" applyNumberFormat="1" applyBorder="1"/>
    <xf numFmtId="9" fontId="0" fillId="0" borderId="6" xfId="0" applyNumberFormat="1" applyBorder="1"/>
    <xf numFmtId="9" fontId="0" fillId="0" borderId="12" xfId="0" applyNumberFormat="1" applyBorder="1"/>
    <xf numFmtId="0" fontId="6" fillId="0" borderId="7" xfId="0" applyFont="1" applyBorder="1" applyAlignment="1" applyProtection="1">
      <alignment horizontal="center" vertical="center"/>
      <protection locked="0"/>
    </xf>
    <xf numFmtId="0" fontId="7" fillId="3" borderId="31" xfId="0" applyFont="1" applyFill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6" fillId="0" borderId="0" xfId="5" applyFont="1" applyAlignment="1">
      <alignment horizontal="left" vertical="center" wrapText="1" indent="1"/>
    </xf>
    <xf numFmtId="0" fontId="7" fillId="3" borderId="31" xfId="5" applyFont="1" applyFill="1" applyBorder="1" applyAlignment="1">
      <alignment horizontal="center" vertical="center" wrapText="1"/>
    </xf>
    <xf numFmtId="0" fontId="6" fillId="0" borderId="2" xfId="5" applyFont="1" applyBorder="1"/>
    <xf numFmtId="0" fontId="6" fillId="0" borderId="0" xfId="5" applyFont="1"/>
    <xf numFmtId="0" fontId="6" fillId="0" borderId="31" xfId="5" applyFont="1" applyBorder="1" applyAlignment="1">
      <alignment horizontal="center" vertical="center" wrapText="1"/>
    </xf>
    <xf numFmtId="0" fontId="9" fillId="2" borderId="31" xfId="5" applyFont="1" applyFill="1" applyBorder="1" applyAlignment="1">
      <alignment horizontal="center" vertical="center" wrapText="1"/>
    </xf>
    <xf numFmtId="1" fontId="9" fillId="2" borderId="31" xfId="5" applyNumberFormat="1" applyFont="1" applyFill="1" applyBorder="1" applyAlignment="1">
      <alignment horizontal="center" vertical="center" wrapText="1"/>
    </xf>
    <xf numFmtId="0" fontId="6" fillId="0" borderId="0" xfId="5" applyFont="1" applyAlignment="1">
      <alignment vertical="center"/>
    </xf>
    <xf numFmtId="0" fontId="6" fillId="0" borderId="0" xfId="5" applyFont="1" applyAlignment="1">
      <alignment horizontal="left" vertical="center" indent="1"/>
    </xf>
    <xf numFmtId="0" fontId="6" fillId="0" borderId="0" xfId="5" applyFont="1" applyAlignment="1">
      <alignment horizontal="center" vertical="center"/>
    </xf>
    <xf numFmtId="0" fontId="6" fillId="2" borderId="31" xfId="5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14" fillId="3" borderId="21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15" fillId="4" borderId="32" xfId="6" applyFont="1" applyFill="1" applyBorder="1" applyAlignment="1">
      <alignment horizontal="left" vertical="center" wrapText="1"/>
    </xf>
    <xf numFmtId="0" fontId="15" fillId="4" borderId="33" xfId="6" applyFont="1" applyFill="1" applyBorder="1" applyAlignment="1">
      <alignment horizontal="left" vertical="center" wrapText="1"/>
    </xf>
    <xf numFmtId="0" fontId="15" fillId="4" borderId="32" xfId="6" applyFont="1" applyFill="1" applyBorder="1" applyAlignment="1">
      <alignment horizontal="left" vertical="center"/>
    </xf>
    <xf numFmtId="0" fontId="15" fillId="4" borderId="33" xfId="6" applyFont="1" applyFill="1" applyBorder="1" applyAlignment="1">
      <alignment horizontal="left" vertical="center"/>
    </xf>
    <xf numFmtId="0" fontId="15" fillId="0" borderId="32" xfId="6" applyFont="1" applyBorder="1" applyAlignment="1">
      <alignment horizontal="left" vertical="center" wrapText="1"/>
    </xf>
    <xf numFmtId="0" fontId="15" fillId="0" borderId="33" xfId="6" applyFont="1" applyBorder="1" applyAlignment="1">
      <alignment horizontal="left" vertical="center" wrapText="1"/>
    </xf>
    <xf numFmtId="0" fontId="14" fillId="3" borderId="21" xfId="5" applyFont="1" applyFill="1" applyBorder="1" applyAlignment="1">
      <alignment horizontal="center" vertical="center"/>
    </xf>
    <xf numFmtId="0" fontId="14" fillId="3" borderId="0" xfId="5" applyFont="1" applyFill="1" applyAlignment="1">
      <alignment horizontal="center" vertical="center"/>
    </xf>
    <xf numFmtId="0" fontId="7" fillId="3" borderId="31" xfId="5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0" fillId="0" borderId="5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/>
    </xf>
    <xf numFmtId="0" fontId="6" fillId="0" borderId="23" xfId="0" applyFont="1" applyBorder="1" applyAlignment="1">
      <alignment horizontal="left" vertical="center"/>
    </xf>
    <xf numFmtId="0" fontId="0" fillId="0" borderId="21" xfId="0" applyBorder="1" applyAlignment="1">
      <alignment horizontal="left"/>
    </xf>
    <xf numFmtId="0" fontId="0" fillId="0" borderId="0" xfId="0" applyAlignment="1">
      <alignment horizontal="left"/>
    </xf>
    <xf numFmtId="0" fontId="6" fillId="0" borderId="4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26" xfId="0" applyBorder="1" applyAlignment="1">
      <alignment horizontal="left"/>
    </xf>
    <xf numFmtId="0" fontId="6" fillId="0" borderId="5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0" fillId="0" borderId="13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14" xfId="0" applyBorder="1" applyAlignment="1">
      <alignment horizontal="left"/>
    </xf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13" fillId="3" borderId="13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left" vertical="center"/>
    </xf>
    <xf numFmtId="0" fontId="13" fillId="3" borderId="20" xfId="0" applyFont="1" applyFill="1" applyBorder="1" applyAlignment="1">
      <alignment horizontal="left" vertical="center"/>
    </xf>
    <xf numFmtId="0" fontId="13" fillId="3" borderId="14" xfId="0" applyFont="1" applyFill="1" applyBorder="1" applyAlignment="1">
      <alignment horizontal="left" vertical="center"/>
    </xf>
  </cellXfs>
  <cellStyles count="7">
    <cellStyle name="Normal" xfId="0" builtinId="0"/>
    <cellStyle name="Normal 2" xfId="1" xr:uid="{00000000-0005-0000-0000-000002000000}"/>
    <cellStyle name="Normal 2 2" xfId="3" xr:uid="{7EAD491E-E404-4551-875A-8C2AE1425F3D}"/>
    <cellStyle name="Normal 2 3" xfId="5" xr:uid="{75C52B71-6282-4A19-9FBB-B88E67C4469E}"/>
    <cellStyle name="Normal 3" xfId="6" xr:uid="{C3D13355-8561-4BD0-8D4E-7E190B284407}"/>
    <cellStyle name="Normal 6 2" xfId="2" xr:uid="{E4D84CFF-5D59-4354-9AB3-8929EBA65DAB}"/>
    <cellStyle name="Normal 6 2 2" xfId="4" xr:uid="{5867FE38-F6BF-43C0-B84F-F8BC1D1F2570}"/>
  </cellStyles>
  <dxfs count="39"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</dxfs>
  <tableStyles count="0" defaultTableStyle="TableStyleMedium9" defaultPivotStyle="PivotStyleMedium4"/>
  <colors>
    <mruColors>
      <color rgb="FF00BD32"/>
      <color rgb="FFEAEEF3"/>
      <color rgb="FFBCE659"/>
      <color rgb="FFAEE67C"/>
      <color rgb="FF03C25B"/>
      <color rgb="FFDAF0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  <pageSetUpPr fitToPage="1"/>
  </sheetPr>
  <dimension ref="B1:X24"/>
  <sheetViews>
    <sheetView showGridLines="0" zoomScale="90" zoomScaleNormal="90" workbookViewId="0">
      <selection activeCell="B8" sqref="B8:C8"/>
    </sheetView>
  </sheetViews>
  <sheetFormatPr defaultColWidth="11" defaultRowHeight="15" x14ac:dyDescent="0.3"/>
  <cols>
    <col min="1" max="1" width="3.375" style="2" customWidth="1"/>
    <col min="2" max="2" width="11.875" style="6" customWidth="1"/>
    <col min="3" max="3" width="22.875" style="7" customWidth="1"/>
    <col min="4" max="4" width="12.5" style="6" customWidth="1"/>
    <col min="5" max="5" width="12.5" style="5" customWidth="1"/>
    <col min="6" max="6" width="12.5" style="7" customWidth="1"/>
    <col min="7" max="7" width="12.5" style="6" customWidth="1"/>
    <col min="8" max="8" width="12.5" style="5" customWidth="1"/>
    <col min="9" max="9" width="12.5" style="7" customWidth="1"/>
    <col min="10" max="10" width="12.5" style="6" customWidth="1"/>
    <col min="11" max="11" width="12.5" style="5" customWidth="1"/>
    <col min="12" max="12" width="12.5" style="7" customWidth="1"/>
    <col min="13" max="13" width="12.5" style="6" customWidth="1"/>
    <col min="14" max="14" width="12.5" style="5" customWidth="1"/>
    <col min="15" max="15" width="12.5" style="7" customWidth="1"/>
    <col min="16" max="16" width="12.5" style="6" customWidth="1"/>
    <col min="17" max="17" width="12.5" style="5" customWidth="1"/>
    <col min="18" max="18" width="12.5" style="7" customWidth="1"/>
    <col min="19" max="20" width="12.5" style="2" customWidth="1"/>
    <col min="21" max="21" width="13.25" style="2" customWidth="1"/>
    <col min="22" max="22" width="11" style="2" customWidth="1"/>
    <col min="23" max="23" width="3.375" style="2" customWidth="1"/>
    <col min="24" max="24" width="11" style="2" customWidth="1"/>
    <col min="25" max="25" width="3.375" style="2" customWidth="1"/>
    <col min="26" max="16384" width="11" style="2"/>
  </cols>
  <sheetData>
    <row r="1" spans="2:24" s="1" customFormat="1" ht="58.5" customHeight="1" x14ac:dyDescent="0.25">
      <c r="B1" s="60" t="s">
        <v>0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</row>
    <row r="2" spans="2:24" ht="50.1" customHeight="1" x14ac:dyDescent="0.3">
      <c r="B2" s="63" t="s">
        <v>1</v>
      </c>
      <c r="C2" s="63"/>
      <c r="D2" s="43" t="s">
        <v>2</v>
      </c>
      <c r="E2" s="43" t="s">
        <v>3</v>
      </c>
      <c r="F2" s="43" t="s">
        <v>4</v>
      </c>
      <c r="G2" s="43" t="s">
        <v>5</v>
      </c>
      <c r="H2" s="43" t="s">
        <v>6</v>
      </c>
      <c r="I2" s="43" t="s">
        <v>7</v>
      </c>
      <c r="J2" s="43" t="s">
        <v>8</v>
      </c>
      <c r="K2" s="43" t="s">
        <v>9</v>
      </c>
      <c r="L2" s="43" t="s">
        <v>10</v>
      </c>
      <c r="M2" s="43" t="s">
        <v>11</v>
      </c>
      <c r="N2" s="43" t="s">
        <v>12</v>
      </c>
      <c r="O2" s="43" t="s">
        <v>13</v>
      </c>
      <c r="P2" s="43" t="s">
        <v>14</v>
      </c>
      <c r="Q2" s="43" t="s">
        <v>15</v>
      </c>
      <c r="R2" s="43" t="s">
        <v>16</v>
      </c>
      <c r="S2" s="43" t="s">
        <v>17</v>
      </c>
      <c r="T2" s="43" t="s">
        <v>18</v>
      </c>
      <c r="U2" s="43" t="s">
        <v>19</v>
      </c>
      <c r="V2" s="3"/>
      <c r="W2" s="3"/>
      <c r="X2" s="3"/>
    </row>
    <row r="3" spans="2:24" ht="45" customHeight="1" x14ac:dyDescent="0.3">
      <c r="B3" s="62" t="s">
        <v>20</v>
      </c>
      <c r="C3" s="62" t="s">
        <v>21</v>
      </c>
      <c r="D3" s="44">
        <v>2</v>
      </c>
      <c r="E3" s="44">
        <v>3</v>
      </c>
      <c r="F3" s="45">
        <f>MAX(0,D3+E3-1)</f>
        <v>4</v>
      </c>
      <c r="G3" s="44">
        <v>3</v>
      </c>
      <c r="H3" s="44">
        <v>4</v>
      </c>
      <c r="I3" s="45">
        <f>MAX(0,G3+H3-1)</f>
        <v>6</v>
      </c>
      <c r="J3" s="44">
        <v>4</v>
      </c>
      <c r="K3" s="44">
        <v>4</v>
      </c>
      <c r="L3" s="45">
        <f>MAX(0,J3+K3-1)</f>
        <v>7</v>
      </c>
      <c r="M3" s="44">
        <v>2</v>
      </c>
      <c r="N3" s="44">
        <v>2</v>
      </c>
      <c r="O3" s="45">
        <f>MAX(0,M3+N3-1)</f>
        <v>3</v>
      </c>
      <c r="P3" s="44">
        <v>3</v>
      </c>
      <c r="Q3" s="44">
        <v>4</v>
      </c>
      <c r="R3" s="45">
        <f>MAX(0,P3+Q3-1)</f>
        <v>6</v>
      </c>
      <c r="S3" s="44">
        <v>3</v>
      </c>
      <c r="T3" s="44">
        <v>4</v>
      </c>
      <c r="U3" s="45">
        <f>MAX(0,S3+T3-1)</f>
        <v>6</v>
      </c>
    </row>
    <row r="4" spans="2:24" ht="45" customHeight="1" x14ac:dyDescent="0.3">
      <c r="B4" s="62" t="s">
        <v>22</v>
      </c>
      <c r="C4" s="62"/>
      <c r="D4" s="44">
        <v>2</v>
      </c>
      <c r="E4" s="44">
        <v>3</v>
      </c>
      <c r="F4" s="45">
        <f t="shared" ref="F4:F12" si="0">MAX(0,D4+E4-1)</f>
        <v>4</v>
      </c>
      <c r="G4" s="44">
        <v>3</v>
      </c>
      <c r="H4" s="44">
        <v>3</v>
      </c>
      <c r="I4" s="45">
        <f t="shared" ref="I4:I12" si="1">MAX(0,G4+H4-1)</f>
        <v>5</v>
      </c>
      <c r="J4" s="44">
        <v>3</v>
      </c>
      <c r="K4" s="44">
        <v>3</v>
      </c>
      <c r="L4" s="45">
        <f t="shared" ref="L4:L12" si="2">MAX(0,J4+K4-1)</f>
        <v>5</v>
      </c>
      <c r="M4" s="44">
        <v>3</v>
      </c>
      <c r="N4" s="44">
        <v>3</v>
      </c>
      <c r="O4" s="45">
        <f t="shared" ref="O4:O12" si="3">MAX(0,M4+N4-1)</f>
        <v>5</v>
      </c>
      <c r="P4" s="44">
        <v>2</v>
      </c>
      <c r="Q4" s="44">
        <v>4</v>
      </c>
      <c r="R4" s="45">
        <f t="shared" ref="R4:R12" si="4">MAX(0,P4+Q4-1)</f>
        <v>5</v>
      </c>
      <c r="S4" s="44">
        <v>3</v>
      </c>
      <c r="T4" s="44">
        <v>3</v>
      </c>
      <c r="U4" s="45">
        <f t="shared" ref="U4:U12" si="5">MAX(0,S4+T4-1)</f>
        <v>5</v>
      </c>
    </row>
    <row r="5" spans="2:24" ht="45" customHeight="1" x14ac:dyDescent="0.3">
      <c r="B5" s="62" t="s">
        <v>23</v>
      </c>
      <c r="C5" s="62"/>
      <c r="D5" s="44">
        <v>4</v>
      </c>
      <c r="E5" s="44">
        <v>4</v>
      </c>
      <c r="F5" s="45">
        <f t="shared" si="0"/>
        <v>7</v>
      </c>
      <c r="G5" s="44">
        <v>2</v>
      </c>
      <c r="H5" s="44">
        <v>3</v>
      </c>
      <c r="I5" s="45">
        <f t="shared" si="1"/>
        <v>4</v>
      </c>
      <c r="J5" s="44">
        <v>2</v>
      </c>
      <c r="K5" s="44">
        <v>3</v>
      </c>
      <c r="L5" s="45">
        <f t="shared" si="2"/>
        <v>4</v>
      </c>
      <c r="M5" s="44">
        <v>3</v>
      </c>
      <c r="N5" s="44">
        <v>3</v>
      </c>
      <c r="O5" s="45">
        <f t="shared" si="3"/>
        <v>5</v>
      </c>
      <c r="P5" s="44">
        <v>2</v>
      </c>
      <c r="Q5" s="44">
        <v>2</v>
      </c>
      <c r="R5" s="45">
        <f t="shared" si="4"/>
        <v>3</v>
      </c>
      <c r="S5" s="44">
        <v>3</v>
      </c>
      <c r="T5" s="44">
        <v>3</v>
      </c>
      <c r="U5" s="45">
        <f t="shared" si="5"/>
        <v>5</v>
      </c>
    </row>
    <row r="6" spans="2:24" ht="45" customHeight="1" x14ac:dyDescent="0.3">
      <c r="B6" s="62" t="s">
        <v>24</v>
      </c>
      <c r="C6" s="62" t="s">
        <v>25</v>
      </c>
      <c r="D6" s="44">
        <v>2</v>
      </c>
      <c r="E6" s="44">
        <v>4</v>
      </c>
      <c r="F6" s="45">
        <f t="shared" si="0"/>
        <v>5</v>
      </c>
      <c r="G6" s="44">
        <v>2</v>
      </c>
      <c r="H6" s="44">
        <v>4</v>
      </c>
      <c r="I6" s="45">
        <f t="shared" si="1"/>
        <v>5</v>
      </c>
      <c r="J6" s="44">
        <v>3</v>
      </c>
      <c r="K6" s="44">
        <v>3</v>
      </c>
      <c r="L6" s="45">
        <f t="shared" si="2"/>
        <v>5</v>
      </c>
      <c r="M6" s="44">
        <v>3</v>
      </c>
      <c r="N6" s="44">
        <v>3</v>
      </c>
      <c r="O6" s="45">
        <f t="shared" si="3"/>
        <v>5</v>
      </c>
      <c r="P6" s="44">
        <v>3</v>
      </c>
      <c r="Q6" s="44">
        <v>3</v>
      </c>
      <c r="R6" s="45">
        <f t="shared" si="4"/>
        <v>5</v>
      </c>
      <c r="S6" s="44">
        <v>3</v>
      </c>
      <c r="T6" s="44">
        <v>3</v>
      </c>
      <c r="U6" s="45">
        <f t="shared" si="5"/>
        <v>5</v>
      </c>
    </row>
    <row r="7" spans="2:24" ht="45" customHeight="1" x14ac:dyDescent="0.3">
      <c r="B7" s="62" t="s">
        <v>26</v>
      </c>
      <c r="C7" s="62" t="s">
        <v>27</v>
      </c>
      <c r="D7" s="44">
        <v>3</v>
      </c>
      <c r="E7" s="44">
        <v>3</v>
      </c>
      <c r="F7" s="45">
        <f t="shared" si="0"/>
        <v>5</v>
      </c>
      <c r="G7" s="44">
        <v>3</v>
      </c>
      <c r="H7" s="44">
        <v>2</v>
      </c>
      <c r="I7" s="45">
        <f t="shared" si="1"/>
        <v>4</v>
      </c>
      <c r="J7" s="44">
        <v>1</v>
      </c>
      <c r="K7" s="44">
        <v>1</v>
      </c>
      <c r="L7" s="45">
        <f t="shared" si="2"/>
        <v>1</v>
      </c>
      <c r="M7" s="44">
        <v>2</v>
      </c>
      <c r="N7" s="44">
        <v>1</v>
      </c>
      <c r="O7" s="45">
        <f t="shared" si="3"/>
        <v>2</v>
      </c>
      <c r="P7" s="44">
        <v>1</v>
      </c>
      <c r="Q7" s="44">
        <v>2</v>
      </c>
      <c r="R7" s="45">
        <f t="shared" si="4"/>
        <v>2</v>
      </c>
      <c r="S7" s="44">
        <v>3</v>
      </c>
      <c r="T7" s="44">
        <v>2</v>
      </c>
      <c r="U7" s="45">
        <f t="shared" si="5"/>
        <v>4</v>
      </c>
    </row>
    <row r="8" spans="2:24" ht="45" customHeight="1" x14ac:dyDescent="0.3">
      <c r="B8" s="62" t="s">
        <v>28</v>
      </c>
      <c r="C8" s="62" t="s">
        <v>29</v>
      </c>
      <c r="D8" s="44">
        <v>4</v>
      </c>
      <c r="E8" s="44">
        <v>4</v>
      </c>
      <c r="F8" s="45">
        <f t="shared" si="0"/>
        <v>7</v>
      </c>
      <c r="G8" s="44">
        <v>1</v>
      </c>
      <c r="H8" s="44">
        <v>2</v>
      </c>
      <c r="I8" s="45">
        <f t="shared" si="1"/>
        <v>2</v>
      </c>
      <c r="J8" s="44">
        <v>2</v>
      </c>
      <c r="K8" s="44">
        <v>3</v>
      </c>
      <c r="L8" s="45">
        <f t="shared" si="2"/>
        <v>4</v>
      </c>
      <c r="M8" s="44">
        <v>1</v>
      </c>
      <c r="N8" s="44">
        <v>2</v>
      </c>
      <c r="O8" s="45">
        <f t="shared" si="3"/>
        <v>2</v>
      </c>
      <c r="P8" s="44">
        <v>1</v>
      </c>
      <c r="Q8" s="44">
        <v>2</v>
      </c>
      <c r="R8" s="45">
        <f t="shared" si="4"/>
        <v>2</v>
      </c>
      <c r="S8" s="44">
        <v>2</v>
      </c>
      <c r="T8" s="44">
        <v>3</v>
      </c>
      <c r="U8" s="45">
        <f t="shared" si="5"/>
        <v>4</v>
      </c>
    </row>
    <row r="9" spans="2:24" ht="45" customHeight="1" x14ac:dyDescent="0.3">
      <c r="B9" s="62" t="s">
        <v>30</v>
      </c>
      <c r="C9" s="62"/>
      <c r="D9" s="44">
        <v>2</v>
      </c>
      <c r="E9" s="44">
        <v>2</v>
      </c>
      <c r="F9" s="45">
        <f t="shared" si="0"/>
        <v>3</v>
      </c>
      <c r="G9" s="44">
        <v>2</v>
      </c>
      <c r="H9" s="44">
        <v>2</v>
      </c>
      <c r="I9" s="45">
        <f t="shared" si="1"/>
        <v>3</v>
      </c>
      <c r="J9" s="44">
        <v>1</v>
      </c>
      <c r="K9" s="44">
        <v>2</v>
      </c>
      <c r="L9" s="45">
        <f t="shared" si="2"/>
        <v>2</v>
      </c>
      <c r="M9" s="44">
        <v>2</v>
      </c>
      <c r="N9" s="44">
        <v>1</v>
      </c>
      <c r="O9" s="45">
        <f t="shared" si="3"/>
        <v>2</v>
      </c>
      <c r="P9" s="44">
        <v>3</v>
      </c>
      <c r="Q9" s="44">
        <v>3</v>
      </c>
      <c r="R9" s="45">
        <f t="shared" si="4"/>
        <v>5</v>
      </c>
      <c r="S9" s="44">
        <v>3</v>
      </c>
      <c r="T9" s="44">
        <v>2</v>
      </c>
      <c r="U9" s="45">
        <f t="shared" si="5"/>
        <v>4</v>
      </c>
    </row>
    <row r="10" spans="2:24" ht="45" customHeight="1" x14ac:dyDescent="0.3">
      <c r="B10" s="62" t="s">
        <v>31</v>
      </c>
      <c r="C10" s="62"/>
      <c r="D10" s="44">
        <v>2</v>
      </c>
      <c r="E10" s="44">
        <v>2</v>
      </c>
      <c r="F10" s="45">
        <f t="shared" si="0"/>
        <v>3</v>
      </c>
      <c r="G10" s="44">
        <v>1</v>
      </c>
      <c r="H10" s="44">
        <v>3</v>
      </c>
      <c r="I10" s="45">
        <f t="shared" si="1"/>
        <v>3</v>
      </c>
      <c r="J10" s="44">
        <v>1</v>
      </c>
      <c r="K10" s="44">
        <v>3</v>
      </c>
      <c r="L10" s="45">
        <f t="shared" si="2"/>
        <v>3</v>
      </c>
      <c r="M10" s="44">
        <v>2</v>
      </c>
      <c r="N10" s="44">
        <v>1</v>
      </c>
      <c r="O10" s="45">
        <f t="shared" si="3"/>
        <v>2</v>
      </c>
      <c r="P10" s="44">
        <v>3</v>
      </c>
      <c r="Q10" s="44">
        <v>3</v>
      </c>
      <c r="R10" s="45">
        <f t="shared" si="4"/>
        <v>5</v>
      </c>
      <c r="S10" s="44">
        <v>2</v>
      </c>
      <c r="T10" s="44">
        <v>3</v>
      </c>
      <c r="U10" s="45">
        <f t="shared" si="5"/>
        <v>4</v>
      </c>
    </row>
    <row r="11" spans="2:24" ht="45" customHeight="1" x14ac:dyDescent="0.3">
      <c r="B11" s="62" t="s">
        <v>32</v>
      </c>
      <c r="C11" s="62" t="s">
        <v>33</v>
      </c>
      <c r="D11" s="44">
        <v>1</v>
      </c>
      <c r="E11" s="44">
        <v>1</v>
      </c>
      <c r="F11" s="45">
        <f t="shared" si="0"/>
        <v>1</v>
      </c>
      <c r="G11" s="44">
        <v>2</v>
      </c>
      <c r="H11" s="44">
        <v>3</v>
      </c>
      <c r="I11" s="45">
        <f t="shared" si="1"/>
        <v>4</v>
      </c>
      <c r="J11" s="44">
        <v>1</v>
      </c>
      <c r="K11" s="44">
        <v>2</v>
      </c>
      <c r="L11" s="45">
        <f t="shared" si="2"/>
        <v>2</v>
      </c>
      <c r="M11" s="44">
        <v>1</v>
      </c>
      <c r="N11" s="44">
        <v>1</v>
      </c>
      <c r="O11" s="45">
        <f t="shared" si="3"/>
        <v>1</v>
      </c>
      <c r="P11" s="44">
        <v>1</v>
      </c>
      <c r="Q11" s="44">
        <v>2</v>
      </c>
      <c r="R11" s="45">
        <f t="shared" si="4"/>
        <v>2</v>
      </c>
      <c r="S11" s="44">
        <v>1</v>
      </c>
      <c r="T11" s="44">
        <v>3</v>
      </c>
      <c r="U11" s="45">
        <f t="shared" si="5"/>
        <v>3</v>
      </c>
    </row>
    <row r="12" spans="2:24" ht="45" customHeight="1" x14ac:dyDescent="0.3">
      <c r="B12" s="62" t="s">
        <v>34</v>
      </c>
      <c r="C12" s="62" t="s">
        <v>34</v>
      </c>
      <c r="D12" s="44">
        <v>2</v>
      </c>
      <c r="E12" s="44">
        <v>1</v>
      </c>
      <c r="F12" s="45">
        <f t="shared" si="0"/>
        <v>2</v>
      </c>
      <c r="G12" s="44">
        <v>3</v>
      </c>
      <c r="H12" s="44">
        <v>3</v>
      </c>
      <c r="I12" s="45">
        <f t="shared" si="1"/>
        <v>5</v>
      </c>
      <c r="J12" s="44">
        <v>1</v>
      </c>
      <c r="K12" s="44">
        <v>1</v>
      </c>
      <c r="L12" s="45">
        <f t="shared" si="2"/>
        <v>1</v>
      </c>
      <c r="M12" s="44">
        <v>2</v>
      </c>
      <c r="N12" s="44">
        <v>1</v>
      </c>
      <c r="O12" s="45">
        <f t="shared" si="3"/>
        <v>2</v>
      </c>
      <c r="P12" s="44">
        <v>1</v>
      </c>
      <c r="Q12" s="44">
        <v>1</v>
      </c>
      <c r="R12" s="45">
        <f t="shared" si="4"/>
        <v>1</v>
      </c>
      <c r="S12" s="44">
        <v>2</v>
      </c>
      <c r="T12" s="44">
        <v>2</v>
      </c>
      <c r="U12" s="45">
        <f t="shared" si="5"/>
        <v>3</v>
      </c>
    </row>
    <row r="13" spans="2:24" ht="45" customHeight="1" x14ac:dyDescent="0.3">
      <c r="B13" s="62" t="s">
        <v>35</v>
      </c>
      <c r="C13" s="62"/>
      <c r="D13" s="44">
        <v>1</v>
      </c>
      <c r="E13" s="44">
        <v>1</v>
      </c>
      <c r="F13" s="45">
        <f t="shared" ref="F13" si="6">MAX(0,D13+E13-1)</f>
        <v>1</v>
      </c>
      <c r="G13" s="44">
        <v>1</v>
      </c>
      <c r="H13" s="44">
        <v>2</v>
      </c>
      <c r="I13" s="45">
        <f t="shared" ref="I13" si="7">MAX(0,G13+H13-1)</f>
        <v>2</v>
      </c>
      <c r="J13" s="44">
        <v>1</v>
      </c>
      <c r="K13" s="44">
        <v>1</v>
      </c>
      <c r="L13" s="45">
        <f t="shared" ref="L13" si="8">MAX(0,J13+K13-1)</f>
        <v>1</v>
      </c>
      <c r="M13" s="44">
        <v>1</v>
      </c>
      <c r="N13" s="44">
        <v>1</v>
      </c>
      <c r="O13" s="45">
        <f t="shared" ref="O13" si="9">MAX(0,M13+N13-1)</f>
        <v>1</v>
      </c>
      <c r="P13" s="44">
        <v>3</v>
      </c>
      <c r="Q13" s="44">
        <v>2</v>
      </c>
      <c r="R13" s="45">
        <f t="shared" ref="R13" si="10">MAX(0,P13+Q13-1)</f>
        <v>4</v>
      </c>
      <c r="S13" s="44">
        <v>1</v>
      </c>
      <c r="T13" s="44">
        <v>2</v>
      </c>
      <c r="U13" s="45">
        <f t="shared" ref="U13" si="11">MAX(0,S13+T13-1)</f>
        <v>2</v>
      </c>
    </row>
    <row r="14" spans="2:24" ht="45" customHeight="1" x14ac:dyDescent="0.3">
      <c r="B14" s="62" t="s">
        <v>36</v>
      </c>
      <c r="C14" s="62"/>
      <c r="D14" s="44">
        <v>1</v>
      </c>
      <c r="E14" s="44">
        <v>2</v>
      </c>
      <c r="F14" s="45">
        <f t="shared" ref="F14:F20" si="12">MAX(0,D14+E14-1)</f>
        <v>2</v>
      </c>
      <c r="G14" s="44">
        <v>1</v>
      </c>
      <c r="H14" s="44">
        <v>1</v>
      </c>
      <c r="I14" s="45">
        <f t="shared" ref="I14:I20" si="13">MAX(0,G14+H14-1)</f>
        <v>1</v>
      </c>
      <c r="J14" s="44">
        <v>1</v>
      </c>
      <c r="K14" s="44">
        <v>1</v>
      </c>
      <c r="L14" s="45">
        <f t="shared" ref="L14:L20" si="14">MAX(0,J14+K14-1)</f>
        <v>1</v>
      </c>
      <c r="M14" s="44">
        <v>1</v>
      </c>
      <c r="N14" s="44">
        <v>1</v>
      </c>
      <c r="O14" s="45">
        <f t="shared" ref="O14:O20" si="15">MAX(0,M14+N14-1)</f>
        <v>1</v>
      </c>
      <c r="P14" s="44">
        <v>1</v>
      </c>
      <c r="Q14" s="44">
        <v>2</v>
      </c>
      <c r="R14" s="45">
        <f t="shared" ref="R14:R20" si="16">MAX(0,P14+Q14-1)</f>
        <v>2</v>
      </c>
      <c r="S14" s="44">
        <v>1</v>
      </c>
      <c r="T14" s="44">
        <v>2</v>
      </c>
      <c r="U14" s="45">
        <f t="shared" ref="U14:U20" si="17">MAX(0,S14+T14-1)</f>
        <v>2</v>
      </c>
    </row>
    <row r="15" spans="2:24" ht="45" customHeight="1" x14ac:dyDescent="0.3">
      <c r="B15" s="62" t="s">
        <v>37</v>
      </c>
      <c r="C15" s="62"/>
      <c r="D15" s="44">
        <v>2</v>
      </c>
      <c r="E15" s="44">
        <v>1</v>
      </c>
      <c r="F15" s="45">
        <f>MAX(0,D15+E15-1)</f>
        <v>2</v>
      </c>
      <c r="G15" s="44">
        <v>2</v>
      </c>
      <c r="H15" s="44">
        <v>2</v>
      </c>
      <c r="I15" s="45">
        <f>MAX(0,G15+H15-1)</f>
        <v>3</v>
      </c>
      <c r="J15" s="44">
        <v>2</v>
      </c>
      <c r="K15" s="44">
        <v>1</v>
      </c>
      <c r="L15" s="45">
        <f>MAX(0,J15+K15-1)</f>
        <v>2</v>
      </c>
      <c r="M15" s="44">
        <v>2</v>
      </c>
      <c r="N15" s="44">
        <v>2</v>
      </c>
      <c r="O15" s="45">
        <f>MAX(0,M15+N15-1)</f>
        <v>3</v>
      </c>
      <c r="P15" s="44">
        <v>1</v>
      </c>
      <c r="Q15" s="44">
        <v>1</v>
      </c>
      <c r="R15" s="45">
        <f>MAX(0,P15+Q15-1)</f>
        <v>1</v>
      </c>
      <c r="S15" s="44">
        <v>2</v>
      </c>
      <c r="T15" s="44">
        <v>1</v>
      </c>
      <c r="U15" s="45">
        <f>MAX(0,S15+T15-1)</f>
        <v>2</v>
      </c>
    </row>
    <row r="16" spans="2:24" ht="45" customHeight="1" x14ac:dyDescent="0.3">
      <c r="B16" s="59"/>
      <c r="C16" s="59"/>
      <c r="D16" s="44"/>
      <c r="E16" s="44"/>
      <c r="F16" s="45">
        <f t="shared" si="12"/>
        <v>0</v>
      </c>
      <c r="G16" s="44"/>
      <c r="H16" s="44"/>
      <c r="I16" s="45">
        <f t="shared" si="13"/>
        <v>0</v>
      </c>
      <c r="J16" s="44"/>
      <c r="K16" s="44"/>
      <c r="L16" s="45">
        <f t="shared" si="14"/>
        <v>0</v>
      </c>
      <c r="M16" s="44"/>
      <c r="N16" s="44"/>
      <c r="O16" s="45">
        <f t="shared" si="15"/>
        <v>0</v>
      </c>
      <c r="P16" s="44"/>
      <c r="Q16" s="44"/>
      <c r="R16" s="45">
        <f t="shared" si="16"/>
        <v>0</v>
      </c>
      <c r="S16" s="44"/>
      <c r="T16" s="44"/>
      <c r="U16" s="45">
        <f t="shared" si="17"/>
        <v>0</v>
      </c>
    </row>
    <row r="17" spans="2:21" ht="45" customHeight="1" x14ac:dyDescent="0.3">
      <c r="B17" s="59"/>
      <c r="C17" s="59"/>
      <c r="D17" s="44"/>
      <c r="E17" s="44"/>
      <c r="F17" s="45">
        <f t="shared" si="12"/>
        <v>0</v>
      </c>
      <c r="G17" s="44"/>
      <c r="H17" s="44"/>
      <c r="I17" s="45">
        <f t="shared" si="13"/>
        <v>0</v>
      </c>
      <c r="J17" s="44"/>
      <c r="K17" s="44"/>
      <c r="L17" s="45">
        <f t="shared" si="14"/>
        <v>0</v>
      </c>
      <c r="M17" s="44"/>
      <c r="N17" s="44"/>
      <c r="O17" s="45">
        <f t="shared" si="15"/>
        <v>0</v>
      </c>
      <c r="P17" s="44"/>
      <c r="Q17" s="44"/>
      <c r="R17" s="45">
        <f t="shared" si="16"/>
        <v>0</v>
      </c>
      <c r="S17" s="44"/>
      <c r="T17" s="44"/>
      <c r="U17" s="45">
        <f t="shared" si="17"/>
        <v>0</v>
      </c>
    </row>
    <row r="18" spans="2:21" ht="45" customHeight="1" x14ac:dyDescent="0.3">
      <c r="B18" s="59"/>
      <c r="C18" s="59"/>
      <c r="D18" s="44"/>
      <c r="E18" s="44"/>
      <c r="F18" s="45">
        <f t="shared" si="12"/>
        <v>0</v>
      </c>
      <c r="G18" s="44"/>
      <c r="H18" s="44"/>
      <c r="I18" s="45">
        <f t="shared" si="13"/>
        <v>0</v>
      </c>
      <c r="J18" s="44"/>
      <c r="K18" s="44"/>
      <c r="L18" s="45">
        <f t="shared" si="14"/>
        <v>0</v>
      </c>
      <c r="M18" s="44"/>
      <c r="N18" s="44"/>
      <c r="O18" s="45">
        <f t="shared" si="15"/>
        <v>0</v>
      </c>
      <c r="P18" s="44"/>
      <c r="Q18" s="44"/>
      <c r="R18" s="45">
        <f t="shared" si="16"/>
        <v>0</v>
      </c>
      <c r="S18" s="44"/>
      <c r="T18" s="44"/>
      <c r="U18" s="45">
        <f t="shared" si="17"/>
        <v>0</v>
      </c>
    </row>
    <row r="19" spans="2:21" ht="45" customHeight="1" x14ac:dyDescent="0.3">
      <c r="B19" s="59"/>
      <c r="C19" s="59"/>
      <c r="D19" s="44"/>
      <c r="E19" s="44"/>
      <c r="F19" s="45">
        <f t="shared" si="12"/>
        <v>0</v>
      </c>
      <c r="G19" s="44"/>
      <c r="H19" s="44"/>
      <c r="I19" s="45">
        <f t="shared" si="13"/>
        <v>0</v>
      </c>
      <c r="J19" s="44"/>
      <c r="K19" s="44"/>
      <c r="L19" s="45">
        <f t="shared" si="14"/>
        <v>0</v>
      </c>
      <c r="M19" s="44"/>
      <c r="N19" s="44"/>
      <c r="O19" s="45">
        <f t="shared" si="15"/>
        <v>0</v>
      </c>
      <c r="P19" s="44"/>
      <c r="Q19" s="44"/>
      <c r="R19" s="45">
        <f t="shared" si="16"/>
        <v>0</v>
      </c>
      <c r="S19" s="44"/>
      <c r="T19" s="44"/>
      <c r="U19" s="45">
        <f t="shared" si="17"/>
        <v>0</v>
      </c>
    </row>
    <row r="20" spans="2:21" ht="45" customHeight="1" x14ac:dyDescent="0.3">
      <c r="B20" s="59"/>
      <c r="C20" s="59"/>
      <c r="D20" s="44"/>
      <c r="E20" s="44"/>
      <c r="F20" s="45">
        <f t="shared" si="12"/>
        <v>0</v>
      </c>
      <c r="G20" s="44"/>
      <c r="H20" s="44"/>
      <c r="I20" s="45">
        <f t="shared" si="13"/>
        <v>0</v>
      </c>
      <c r="J20" s="44"/>
      <c r="K20" s="44"/>
      <c r="L20" s="45">
        <f t="shared" si="14"/>
        <v>0</v>
      </c>
      <c r="M20" s="44"/>
      <c r="N20" s="44"/>
      <c r="O20" s="45">
        <f t="shared" si="15"/>
        <v>0</v>
      </c>
      <c r="P20" s="44"/>
      <c r="Q20" s="44"/>
      <c r="R20" s="45">
        <f t="shared" si="16"/>
        <v>0</v>
      </c>
      <c r="S20" s="44"/>
      <c r="T20" s="44"/>
      <c r="U20" s="45">
        <f t="shared" si="17"/>
        <v>0</v>
      </c>
    </row>
    <row r="22" spans="2:21" x14ac:dyDescent="0.3">
      <c r="B22" s="57"/>
      <c r="C22" s="57"/>
    </row>
    <row r="23" spans="2:21" x14ac:dyDescent="0.3">
      <c r="B23" s="57"/>
      <c r="C23" s="57"/>
    </row>
    <row r="24" spans="2:21" x14ac:dyDescent="0.3">
      <c r="B24" s="58"/>
      <c r="C24" s="58"/>
    </row>
  </sheetData>
  <mergeCells count="23">
    <mergeCell ref="B1:U1"/>
    <mergeCell ref="B16:C16"/>
    <mergeCell ref="B3:C3"/>
    <mergeCell ref="B7:C7"/>
    <mergeCell ref="B5:C5"/>
    <mergeCell ref="B4:C4"/>
    <mergeCell ref="B13:C13"/>
    <mergeCell ref="B15:C15"/>
    <mergeCell ref="B10:C10"/>
    <mergeCell ref="B14:C14"/>
    <mergeCell ref="B9:C9"/>
    <mergeCell ref="B2:C2"/>
    <mergeCell ref="B8:C8"/>
    <mergeCell ref="B6:C6"/>
    <mergeCell ref="B11:C11"/>
    <mergeCell ref="B12:C12"/>
    <mergeCell ref="B23:C23"/>
    <mergeCell ref="B24:C24"/>
    <mergeCell ref="B17:C17"/>
    <mergeCell ref="B18:C18"/>
    <mergeCell ref="B19:C19"/>
    <mergeCell ref="B20:C20"/>
    <mergeCell ref="B22:C22"/>
  </mergeCells>
  <phoneticPr fontId="4" type="noConversion"/>
  <conditionalFormatting sqref="D3:U20">
    <cfRule type="cellIs" priority="17" operator="lessThan">
      <formula>1</formula>
    </cfRule>
  </conditionalFormatting>
  <conditionalFormatting sqref="F3:F20 I3:I20 L3:L20 O3:O20 R3:R20 U3:U20">
    <cfRule type="cellIs" dxfId="38" priority="18" stopIfTrue="1" operator="greaterThan">
      <formula>5.4</formula>
    </cfRule>
    <cfRule type="cellIs" dxfId="37" priority="19" stopIfTrue="1" operator="between">
      <formula>0.6</formula>
      <formula>3.4</formula>
    </cfRule>
    <cfRule type="cellIs" dxfId="36" priority="20" stopIfTrue="1" operator="between">
      <formula>3.5</formula>
      <formula>5.4</formula>
    </cfRule>
  </conditionalFormatting>
  <pageMargins left="0.4" right="0.4" top="0.4" bottom="0.4" header="0" footer="0"/>
  <pageSetup scale="5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CB221-FCD1-4141-8BDA-03BE093B1A7A}">
  <sheetPr>
    <tabColor theme="3" tint="0.39997558519241921"/>
    <pageSetUpPr fitToPage="1"/>
  </sheetPr>
  <dimension ref="B1:X26"/>
  <sheetViews>
    <sheetView showGridLines="0" tabSelected="1" zoomScale="90" zoomScaleNormal="90" workbookViewId="0">
      <selection activeCell="R26" sqref="R26"/>
    </sheetView>
  </sheetViews>
  <sheetFormatPr defaultColWidth="11" defaultRowHeight="15" x14ac:dyDescent="0.3"/>
  <cols>
    <col min="1" max="1" width="3.375" style="49" customWidth="1"/>
    <col min="2" max="2" width="11.875" style="53" customWidth="1"/>
    <col min="3" max="3" width="22.875" style="54" customWidth="1"/>
    <col min="4" max="4" width="12.5" style="53" customWidth="1"/>
    <col min="5" max="5" width="12.5" style="55" customWidth="1"/>
    <col min="6" max="9" width="12.5" style="54" customWidth="1"/>
    <col min="10" max="10" width="12.5" style="53" customWidth="1"/>
    <col min="11" max="11" width="12.5" style="55" customWidth="1"/>
    <col min="12" max="12" width="12.5" style="54" customWidth="1"/>
    <col min="13" max="13" width="12.5" style="53" customWidth="1"/>
    <col min="14" max="14" width="12.5" style="55" customWidth="1"/>
    <col min="15" max="15" width="12.5" style="54" customWidth="1"/>
    <col min="16" max="16" width="12.5" style="53" customWidth="1"/>
    <col min="17" max="17" width="12.5" style="55" customWidth="1"/>
    <col min="18" max="18" width="12.5" style="54" customWidth="1"/>
    <col min="19" max="20" width="12.5" style="49" customWidth="1"/>
    <col min="21" max="21" width="13.25" style="49" customWidth="1"/>
    <col min="22" max="22" width="11" style="49" customWidth="1"/>
    <col min="23" max="23" width="3.375" style="49" customWidth="1"/>
    <col min="24" max="24" width="11" style="49" customWidth="1"/>
    <col min="25" max="25" width="3.375" style="49" customWidth="1"/>
    <col min="26" max="16384" width="11" style="49"/>
  </cols>
  <sheetData>
    <row r="1" spans="2:24" s="46" customFormat="1" ht="58.5" customHeight="1" x14ac:dyDescent="0.25">
      <c r="B1" s="70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</row>
    <row r="2" spans="2:24" ht="50.1" customHeight="1" x14ac:dyDescent="0.3">
      <c r="B2" s="72" t="s">
        <v>1</v>
      </c>
      <c r="C2" s="72"/>
      <c r="D2" s="47" t="s">
        <v>5</v>
      </c>
      <c r="E2" s="47" t="s">
        <v>6</v>
      </c>
      <c r="F2" s="47" t="s">
        <v>7</v>
      </c>
      <c r="G2" s="47" t="s">
        <v>122</v>
      </c>
      <c r="H2" s="47" t="s">
        <v>123</v>
      </c>
      <c r="I2" s="47" t="s">
        <v>124</v>
      </c>
      <c r="J2" s="47" t="s">
        <v>8</v>
      </c>
      <c r="K2" s="47" t="s">
        <v>9</v>
      </c>
      <c r="L2" s="47" t="s">
        <v>10</v>
      </c>
      <c r="M2" s="47" t="s">
        <v>11</v>
      </c>
      <c r="N2" s="47" t="s">
        <v>12</v>
      </c>
      <c r="O2" s="47" t="s">
        <v>13</v>
      </c>
      <c r="P2" s="47" t="s">
        <v>14</v>
      </c>
      <c r="Q2" s="47" t="s">
        <v>15</v>
      </c>
      <c r="R2" s="47" t="s">
        <v>16</v>
      </c>
      <c r="S2" s="47" t="s">
        <v>17</v>
      </c>
      <c r="T2" s="47" t="s">
        <v>18</v>
      </c>
      <c r="U2" s="47" t="s">
        <v>19</v>
      </c>
      <c r="V2" s="48"/>
      <c r="W2" s="48"/>
      <c r="X2" s="48"/>
    </row>
    <row r="3" spans="2:24" ht="45" customHeight="1" x14ac:dyDescent="0.3">
      <c r="B3" s="64" t="s">
        <v>98</v>
      </c>
      <c r="C3" s="65"/>
      <c r="D3" s="50">
        <v>2</v>
      </c>
      <c r="E3" s="50">
        <v>2</v>
      </c>
      <c r="F3" s="51">
        <f>MAX(0,D3+E3-1)</f>
        <v>3</v>
      </c>
      <c r="G3" s="50">
        <v>4</v>
      </c>
      <c r="H3" s="50">
        <v>4</v>
      </c>
      <c r="I3" s="56">
        <f>MAX(0,G3+H3-1)</f>
        <v>7</v>
      </c>
      <c r="J3" s="50">
        <v>2</v>
      </c>
      <c r="K3" s="50">
        <v>2</v>
      </c>
      <c r="L3" s="51">
        <f>MAX(0,J3+K3-1)</f>
        <v>3</v>
      </c>
      <c r="M3" s="50">
        <v>2</v>
      </c>
      <c r="N3" s="50">
        <v>3</v>
      </c>
      <c r="O3" s="51">
        <f>MAX(0,M3+N3-1)</f>
        <v>4</v>
      </c>
      <c r="P3" s="50">
        <v>3</v>
      </c>
      <c r="Q3" s="50">
        <v>4</v>
      </c>
      <c r="R3" s="51">
        <f>MAX(0,P3+Q3-1)</f>
        <v>6</v>
      </c>
      <c r="S3" s="50">
        <v>4</v>
      </c>
      <c r="T3" s="50">
        <v>4</v>
      </c>
      <c r="U3" s="52">
        <f>MAX(0,S3+T3-1)</f>
        <v>7</v>
      </c>
    </row>
    <row r="4" spans="2:24" ht="45" customHeight="1" x14ac:dyDescent="0.3">
      <c r="B4" s="64" t="s">
        <v>99</v>
      </c>
      <c r="C4" s="65"/>
      <c r="D4" s="50">
        <v>1</v>
      </c>
      <c r="E4" s="50">
        <v>2</v>
      </c>
      <c r="F4" s="51">
        <f t="shared" ref="F4:F26" si="0">MAX(0,D4+E4-1)</f>
        <v>2</v>
      </c>
      <c r="G4" s="50">
        <v>1</v>
      </c>
      <c r="H4" s="50">
        <v>2</v>
      </c>
      <c r="I4" s="56">
        <f t="shared" ref="I4:I26" si="1">MAX(0,G4+H4-1)</f>
        <v>2</v>
      </c>
      <c r="J4" s="50">
        <v>1</v>
      </c>
      <c r="K4" s="50">
        <v>2</v>
      </c>
      <c r="L4" s="51">
        <f t="shared" ref="L4:L26" si="2">MAX(0,J4+K4-1)</f>
        <v>2</v>
      </c>
      <c r="M4" s="50">
        <v>1</v>
      </c>
      <c r="N4" s="50">
        <v>2</v>
      </c>
      <c r="O4" s="51">
        <f t="shared" ref="O4:O26" si="3">MAX(0,M4+N4-1)</f>
        <v>2</v>
      </c>
      <c r="P4" s="50">
        <v>3</v>
      </c>
      <c r="Q4" s="50">
        <v>4</v>
      </c>
      <c r="R4" s="51">
        <f t="shared" ref="R4:R26" si="4">MAX(0,P4+Q4-1)</f>
        <v>6</v>
      </c>
      <c r="S4" s="50">
        <v>4</v>
      </c>
      <c r="T4" s="50">
        <v>4</v>
      </c>
      <c r="U4" s="51">
        <f t="shared" ref="U4:U24" si="5">MAX(0,S4+T4-1)</f>
        <v>7</v>
      </c>
    </row>
    <row r="5" spans="2:24" ht="45" customHeight="1" x14ac:dyDescent="0.3">
      <c r="B5" s="68" t="s">
        <v>100</v>
      </c>
      <c r="C5" s="69"/>
      <c r="D5" s="50">
        <v>4</v>
      </c>
      <c r="E5" s="50">
        <v>4</v>
      </c>
      <c r="F5" s="51">
        <f t="shared" si="0"/>
        <v>7</v>
      </c>
      <c r="G5" s="50">
        <v>3</v>
      </c>
      <c r="H5" s="50">
        <v>2</v>
      </c>
      <c r="I5" s="56">
        <f t="shared" si="1"/>
        <v>4</v>
      </c>
      <c r="J5" s="50">
        <v>2</v>
      </c>
      <c r="K5" s="50">
        <v>2</v>
      </c>
      <c r="L5" s="51">
        <f t="shared" si="2"/>
        <v>3</v>
      </c>
      <c r="M5" s="50">
        <v>1</v>
      </c>
      <c r="N5" s="50">
        <v>1</v>
      </c>
      <c r="O5" s="51">
        <f t="shared" si="3"/>
        <v>1</v>
      </c>
      <c r="P5" s="50">
        <v>3</v>
      </c>
      <c r="Q5" s="50">
        <v>3</v>
      </c>
      <c r="R5" s="51">
        <f t="shared" si="4"/>
        <v>5</v>
      </c>
      <c r="S5" s="50">
        <v>4</v>
      </c>
      <c r="T5" s="50">
        <v>3</v>
      </c>
      <c r="U5" s="51">
        <f t="shared" si="5"/>
        <v>6</v>
      </c>
    </row>
    <row r="6" spans="2:24" ht="45" customHeight="1" x14ac:dyDescent="0.3">
      <c r="B6" s="68" t="s">
        <v>101</v>
      </c>
      <c r="C6" s="69"/>
      <c r="D6" s="50">
        <v>3</v>
      </c>
      <c r="E6" s="50">
        <v>2</v>
      </c>
      <c r="F6" s="51">
        <f t="shared" si="0"/>
        <v>4</v>
      </c>
      <c r="G6" s="50">
        <v>4</v>
      </c>
      <c r="H6" s="50">
        <v>4</v>
      </c>
      <c r="I6" s="56">
        <f t="shared" si="1"/>
        <v>7</v>
      </c>
      <c r="J6" s="50">
        <v>3</v>
      </c>
      <c r="K6" s="50">
        <v>3</v>
      </c>
      <c r="L6" s="51">
        <f t="shared" si="2"/>
        <v>5</v>
      </c>
      <c r="M6" s="50">
        <v>2</v>
      </c>
      <c r="N6" s="50">
        <v>3</v>
      </c>
      <c r="O6" s="51">
        <f t="shared" si="3"/>
        <v>4</v>
      </c>
      <c r="P6" s="50">
        <v>3</v>
      </c>
      <c r="Q6" s="50">
        <v>3</v>
      </c>
      <c r="R6" s="51">
        <f t="shared" si="4"/>
        <v>5</v>
      </c>
      <c r="S6" s="50">
        <v>4</v>
      </c>
      <c r="T6" s="50">
        <v>3</v>
      </c>
      <c r="U6" s="51">
        <f t="shared" si="5"/>
        <v>6</v>
      </c>
    </row>
    <row r="7" spans="2:24" ht="45" customHeight="1" x14ac:dyDescent="0.3">
      <c r="B7" s="64" t="s">
        <v>102</v>
      </c>
      <c r="C7" s="65"/>
      <c r="D7" s="50">
        <v>4</v>
      </c>
      <c r="E7" s="50">
        <v>4</v>
      </c>
      <c r="F7" s="51">
        <f t="shared" si="0"/>
        <v>7</v>
      </c>
      <c r="G7" s="50">
        <v>3</v>
      </c>
      <c r="H7" s="50">
        <v>3</v>
      </c>
      <c r="I7" s="56">
        <f t="shared" si="1"/>
        <v>5</v>
      </c>
      <c r="J7" s="50">
        <v>2</v>
      </c>
      <c r="K7" s="50">
        <v>2</v>
      </c>
      <c r="L7" s="51">
        <f t="shared" si="2"/>
        <v>3</v>
      </c>
      <c r="M7" s="50">
        <v>1</v>
      </c>
      <c r="N7" s="50">
        <v>1</v>
      </c>
      <c r="O7" s="51">
        <f t="shared" si="3"/>
        <v>1</v>
      </c>
      <c r="P7" s="50">
        <v>1</v>
      </c>
      <c r="Q7" s="50">
        <v>1</v>
      </c>
      <c r="R7" s="51">
        <f t="shared" si="4"/>
        <v>1</v>
      </c>
      <c r="S7" s="50">
        <v>4</v>
      </c>
      <c r="T7" s="50">
        <v>3</v>
      </c>
      <c r="U7" s="51">
        <f t="shared" si="5"/>
        <v>6</v>
      </c>
    </row>
    <row r="8" spans="2:24" ht="45" customHeight="1" x14ac:dyDescent="0.3">
      <c r="B8" s="64" t="s">
        <v>103</v>
      </c>
      <c r="C8" s="65"/>
      <c r="D8" s="50">
        <v>4</v>
      </c>
      <c r="E8" s="50">
        <v>3</v>
      </c>
      <c r="F8" s="51">
        <f t="shared" si="0"/>
        <v>6</v>
      </c>
      <c r="G8" s="50">
        <v>3</v>
      </c>
      <c r="H8" s="50">
        <v>2</v>
      </c>
      <c r="I8" s="56">
        <f t="shared" si="1"/>
        <v>4</v>
      </c>
      <c r="J8" s="50">
        <v>3</v>
      </c>
      <c r="K8" s="50">
        <v>2</v>
      </c>
      <c r="L8" s="51">
        <f t="shared" si="2"/>
        <v>4</v>
      </c>
      <c r="M8" s="50">
        <v>2</v>
      </c>
      <c r="N8" s="50">
        <v>2</v>
      </c>
      <c r="O8" s="51">
        <f t="shared" si="3"/>
        <v>3</v>
      </c>
      <c r="P8" s="50">
        <v>3</v>
      </c>
      <c r="Q8" s="50">
        <v>2</v>
      </c>
      <c r="R8" s="51">
        <f t="shared" si="4"/>
        <v>4</v>
      </c>
      <c r="S8" s="50">
        <v>4</v>
      </c>
      <c r="T8" s="50">
        <v>3</v>
      </c>
      <c r="U8" s="51">
        <f t="shared" si="5"/>
        <v>6</v>
      </c>
    </row>
    <row r="9" spans="2:24" ht="45" customHeight="1" x14ac:dyDescent="0.3">
      <c r="B9" s="64" t="s">
        <v>104</v>
      </c>
      <c r="C9" s="65"/>
      <c r="D9" s="50">
        <v>4</v>
      </c>
      <c r="E9" s="50">
        <v>3</v>
      </c>
      <c r="F9" s="51">
        <f t="shared" si="0"/>
        <v>6</v>
      </c>
      <c r="G9" s="50">
        <v>4</v>
      </c>
      <c r="H9" s="50">
        <v>3</v>
      </c>
      <c r="I9" s="56">
        <f t="shared" si="1"/>
        <v>6</v>
      </c>
      <c r="J9" s="50">
        <v>2</v>
      </c>
      <c r="K9" s="50">
        <v>2</v>
      </c>
      <c r="L9" s="51">
        <f t="shared" si="2"/>
        <v>3</v>
      </c>
      <c r="M9" s="50">
        <v>2</v>
      </c>
      <c r="N9" s="50">
        <v>2</v>
      </c>
      <c r="O9" s="51">
        <f t="shared" si="3"/>
        <v>3</v>
      </c>
      <c r="P9" s="50">
        <v>2</v>
      </c>
      <c r="Q9" s="50">
        <v>2</v>
      </c>
      <c r="R9" s="51">
        <f t="shared" si="4"/>
        <v>3</v>
      </c>
      <c r="S9" s="50">
        <v>4</v>
      </c>
      <c r="T9" s="50">
        <v>3</v>
      </c>
      <c r="U9" s="51">
        <f t="shared" si="5"/>
        <v>6</v>
      </c>
    </row>
    <row r="10" spans="2:24" ht="45" customHeight="1" x14ac:dyDescent="0.3">
      <c r="B10" s="64" t="s">
        <v>105</v>
      </c>
      <c r="C10" s="65"/>
      <c r="D10" s="50">
        <v>2</v>
      </c>
      <c r="E10" s="50">
        <v>2</v>
      </c>
      <c r="F10" s="51">
        <f t="shared" si="0"/>
        <v>3</v>
      </c>
      <c r="G10" s="50">
        <v>2</v>
      </c>
      <c r="H10" s="50">
        <v>2</v>
      </c>
      <c r="I10" s="56">
        <f t="shared" si="1"/>
        <v>3</v>
      </c>
      <c r="J10" s="50">
        <v>1</v>
      </c>
      <c r="K10" s="50">
        <v>1</v>
      </c>
      <c r="L10" s="51">
        <f t="shared" si="2"/>
        <v>1</v>
      </c>
      <c r="M10" s="50">
        <v>3</v>
      </c>
      <c r="N10" s="50">
        <v>4</v>
      </c>
      <c r="O10" s="51">
        <f t="shared" si="3"/>
        <v>6</v>
      </c>
      <c r="P10" s="50">
        <v>3</v>
      </c>
      <c r="Q10" s="50">
        <v>3</v>
      </c>
      <c r="R10" s="51">
        <f t="shared" si="4"/>
        <v>5</v>
      </c>
      <c r="S10" s="50">
        <v>4</v>
      </c>
      <c r="T10" s="50">
        <v>3</v>
      </c>
      <c r="U10" s="51">
        <f t="shared" si="5"/>
        <v>6</v>
      </c>
    </row>
    <row r="11" spans="2:24" ht="45" customHeight="1" x14ac:dyDescent="0.3">
      <c r="B11" s="64" t="s">
        <v>106</v>
      </c>
      <c r="C11" s="65"/>
      <c r="D11" s="50">
        <v>2</v>
      </c>
      <c r="E11" s="50">
        <v>2</v>
      </c>
      <c r="F11" s="51">
        <f t="shared" si="0"/>
        <v>3</v>
      </c>
      <c r="G11" s="50">
        <v>3</v>
      </c>
      <c r="H11" s="50">
        <v>3</v>
      </c>
      <c r="I11" s="56">
        <f t="shared" si="1"/>
        <v>5</v>
      </c>
      <c r="J11" s="50">
        <v>2</v>
      </c>
      <c r="K11" s="50">
        <v>2</v>
      </c>
      <c r="L11" s="51">
        <f t="shared" si="2"/>
        <v>3</v>
      </c>
      <c r="M11" s="50">
        <v>3</v>
      </c>
      <c r="N11" s="50">
        <v>3</v>
      </c>
      <c r="O11" s="51">
        <f t="shared" si="3"/>
        <v>5</v>
      </c>
      <c r="P11" s="50">
        <v>3</v>
      </c>
      <c r="Q11" s="50">
        <v>4</v>
      </c>
      <c r="R11" s="51">
        <f t="shared" si="4"/>
        <v>6</v>
      </c>
      <c r="S11" s="50">
        <v>4</v>
      </c>
      <c r="T11" s="50">
        <v>3</v>
      </c>
      <c r="U11" s="51">
        <f t="shared" si="5"/>
        <v>6</v>
      </c>
    </row>
    <row r="12" spans="2:24" ht="45" customHeight="1" x14ac:dyDescent="0.3">
      <c r="B12" s="64" t="s">
        <v>107</v>
      </c>
      <c r="C12" s="65"/>
      <c r="D12" s="50">
        <v>2</v>
      </c>
      <c r="E12" s="50">
        <v>2</v>
      </c>
      <c r="F12" s="51">
        <f t="shared" si="0"/>
        <v>3</v>
      </c>
      <c r="G12" s="50">
        <v>3</v>
      </c>
      <c r="H12" s="50">
        <v>4</v>
      </c>
      <c r="I12" s="56">
        <f t="shared" si="1"/>
        <v>6</v>
      </c>
      <c r="J12" s="50">
        <v>3</v>
      </c>
      <c r="K12" s="50">
        <v>2</v>
      </c>
      <c r="L12" s="51">
        <f t="shared" si="2"/>
        <v>4</v>
      </c>
      <c r="M12" s="50">
        <v>1</v>
      </c>
      <c r="N12" s="50">
        <v>1</v>
      </c>
      <c r="O12" s="51">
        <f t="shared" si="3"/>
        <v>1</v>
      </c>
      <c r="P12" s="50">
        <v>3</v>
      </c>
      <c r="Q12" s="50">
        <v>2</v>
      </c>
      <c r="R12" s="51">
        <f t="shared" si="4"/>
        <v>4</v>
      </c>
      <c r="S12" s="50">
        <v>4</v>
      </c>
      <c r="T12" s="50">
        <v>3</v>
      </c>
      <c r="U12" s="51">
        <f t="shared" si="5"/>
        <v>6</v>
      </c>
    </row>
    <row r="13" spans="2:24" ht="45" customHeight="1" x14ac:dyDescent="0.3">
      <c r="B13" s="64" t="s">
        <v>108</v>
      </c>
      <c r="C13" s="65"/>
      <c r="D13" s="50">
        <v>1</v>
      </c>
      <c r="E13" s="50">
        <v>1</v>
      </c>
      <c r="F13" s="51">
        <f t="shared" si="0"/>
        <v>1</v>
      </c>
      <c r="G13" s="50">
        <v>3</v>
      </c>
      <c r="H13" s="50">
        <v>2</v>
      </c>
      <c r="I13" s="56">
        <f t="shared" si="1"/>
        <v>4</v>
      </c>
      <c r="J13" s="50">
        <v>1</v>
      </c>
      <c r="K13" s="50">
        <v>1</v>
      </c>
      <c r="L13" s="51">
        <f t="shared" si="2"/>
        <v>1</v>
      </c>
      <c r="M13" s="50">
        <v>3</v>
      </c>
      <c r="N13" s="50">
        <v>3</v>
      </c>
      <c r="O13" s="51">
        <f t="shared" si="3"/>
        <v>5</v>
      </c>
      <c r="P13" s="50">
        <v>4</v>
      </c>
      <c r="Q13" s="50">
        <v>2</v>
      </c>
      <c r="R13" s="51">
        <f t="shared" si="4"/>
        <v>5</v>
      </c>
      <c r="S13" s="50">
        <v>4</v>
      </c>
      <c r="T13" s="50">
        <v>3</v>
      </c>
      <c r="U13" s="51">
        <f t="shared" si="5"/>
        <v>6</v>
      </c>
    </row>
    <row r="14" spans="2:24" ht="45" customHeight="1" x14ac:dyDescent="0.3">
      <c r="B14" s="64" t="s">
        <v>109</v>
      </c>
      <c r="C14" s="65"/>
      <c r="D14" s="50">
        <v>2</v>
      </c>
      <c r="E14" s="50">
        <v>2</v>
      </c>
      <c r="F14" s="51">
        <f t="shared" si="0"/>
        <v>3</v>
      </c>
      <c r="G14" s="50">
        <v>3</v>
      </c>
      <c r="H14" s="50">
        <v>3</v>
      </c>
      <c r="I14" s="56">
        <f t="shared" si="1"/>
        <v>5</v>
      </c>
      <c r="J14" s="50">
        <v>2</v>
      </c>
      <c r="K14" s="50">
        <v>2</v>
      </c>
      <c r="L14" s="51">
        <f t="shared" si="2"/>
        <v>3</v>
      </c>
      <c r="M14" s="50">
        <v>2</v>
      </c>
      <c r="N14" s="50">
        <v>2</v>
      </c>
      <c r="O14" s="51">
        <f t="shared" si="3"/>
        <v>3</v>
      </c>
      <c r="P14" s="50">
        <v>2</v>
      </c>
      <c r="Q14" s="50">
        <v>3</v>
      </c>
      <c r="R14" s="51">
        <f t="shared" si="4"/>
        <v>4</v>
      </c>
      <c r="S14" s="50">
        <v>4</v>
      </c>
      <c r="T14" s="50">
        <v>3</v>
      </c>
      <c r="U14" s="51">
        <f t="shared" si="5"/>
        <v>6</v>
      </c>
    </row>
    <row r="15" spans="2:24" ht="45" customHeight="1" x14ac:dyDescent="0.3">
      <c r="B15" s="64" t="s">
        <v>110</v>
      </c>
      <c r="C15" s="65"/>
      <c r="D15" s="50">
        <v>2</v>
      </c>
      <c r="E15" s="50">
        <v>2</v>
      </c>
      <c r="F15" s="51">
        <f>MAX(0,D15+E15-1)</f>
        <v>3</v>
      </c>
      <c r="G15" s="50">
        <v>2</v>
      </c>
      <c r="H15" s="50">
        <v>2</v>
      </c>
      <c r="I15" s="56">
        <f t="shared" si="1"/>
        <v>3</v>
      </c>
      <c r="J15" s="50">
        <v>2</v>
      </c>
      <c r="K15" s="50">
        <v>2</v>
      </c>
      <c r="L15" s="51">
        <f>MAX(0,J15+K15-1)</f>
        <v>3</v>
      </c>
      <c r="M15" s="50">
        <v>2</v>
      </c>
      <c r="N15" s="50">
        <v>2</v>
      </c>
      <c r="O15" s="51">
        <f>MAX(0,M15+N15-1)</f>
        <v>3</v>
      </c>
      <c r="P15" s="50">
        <v>3</v>
      </c>
      <c r="Q15" s="50">
        <v>3</v>
      </c>
      <c r="R15" s="51">
        <f>MAX(0,P15+Q15-1)</f>
        <v>5</v>
      </c>
      <c r="S15" s="50">
        <v>4</v>
      </c>
      <c r="T15" s="50">
        <v>3</v>
      </c>
      <c r="U15" s="51">
        <f>MAX(0,S15+T15-1)</f>
        <v>6</v>
      </c>
    </row>
    <row r="16" spans="2:24" ht="45" customHeight="1" x14ac:dyDescent="0.3">
      <c r="B16" s="64" t="s">
        <v>111</v>
      </c>
      <c r="C16" s="65"/>
      <c r="D16" s="50">
        <v>2</v>
      </c>
      <c r="E16" s="50">
        <v>2</v>
      </c>
      <c r="F16" s="51">
        <f t="shared" si="0"/>
        <v>3</v>
      </c>
      <c r="G16" s="50">
        <v>3</v>
      </c>
      <c r="H16" s="50">
        <v>2</v>
      </c>
      <c r="I16" s="56">
        <f t="shared" si="1"/>
        <v>4</v>
      </c>
      <c r="J16" s="50">
        <v>1</v>
      </c>
      <c r="K16" s="50">
        <v>1</v>
      </c>
      <c r="L16" s="51">
        <f t="shared" si="2"/>
        <v>1</v>
      </c>
      <c r="M16" s="50">
        <v>2</v>
      </c>
      <c r="N16" s="50">
        <v>2</v>
      </c>
      <c r="O16" s="51">
        <f t="shared" si="3"/>
        <v>3</v>
      </c>
      <c r="P16" s="50">
        <v>3</v>
      </c>
      <c r="Q16" s="50">
        <v>3</v>
      </c>
      <c r="R16" s="51">
        <f t="shared" si="4"/>
        <v>5</v>
      </c>
      <c r="S16" s="50">
        <v>4</v>
      </c>
      <c r="T16" s="50">
        <v>3</v>
      </c>
      <c r="U16" s="51">
        <f t="shared" si="5"/>
        <v>6</v>
      </c>
    </row>
    <row r="17" spans="2:21" ht="45" customHeight="1" x14ac:dyDescent="0.3">
      <c r="B17" s="64" t="s">
        <v>112</v>
      </c>
      <c r="C17" s="65"/>
      <c r="D17" s="50">
        <v>3</v>
      </c>
      <c r="E17" s="50">
        <v>2</v>
      </c>
      <c r="F17" s="51">
        <f t="shared" si="0"/>
        <v>4</v>
      </c>
      <c r="G17" s="50">
        <v>4</v>
      </c>
      <c r="H17" s="50">
        <v>3</v>
      </c>
      <c r="I17" s="56">
        <f t="shared" si="1"/>
        <v>6</v>
      </c>
      <c r="J17" s="50">
        <v>2</v>
      </c>
      <c r="K17" s="50">
        <v>2</v>
      </c>
      <c r="L17" s="51">
        <f t="shared" si="2"/>
        <v>3</v>
      </c>
      <c r="M17" s="50">
        <v>2</v>
      </c>
      <c r="N17" s="50">
        <v>3</v>
      </c>
      <c r="O17" s="51">
        <f t="shared" si="3"/>
        <v>4</v>
      </c>
      <c r="P17" s="50">
        <v>4</v>
      </c>
      <c r="Q17" s="50">
        <v>3</v>
      </c>
      <c r="R17" s="51">
        <f t="shared" si="4"/>
        <v>6</v>
      </c>
      <c r="S17" s="50">
        <v>3</v>
      </c>
      <c r="T17" s="50">
        <v>2</v>
      </c>
      <c r="U17" s="51">
        <f t="shared" si="5"/>
        <v>4</v>
      </c>
    </row>
    <row r="18" spans="2:21" ht="45" customHeight="1" x14ac:dyDescent="0.3">
      <c r="B18" s="64" t="s">
        <v>113</v>
      </c>
      <c r="C18" s="65"/>
      <c r="D18" s="50">
        <v>2</v>
      </c>
      <c r="E18" s="50">
        <v>2</v>
      </c>
      <c r="F18" s="51">
        <f t="shared" si="0"/>
        <v>3</v>
      </c>
      <c r="G18" s="50">
        <v>2</v>
      </c>
      <c r="H18" s="50">
        <v>2</v>
      </c>
      <c r="I18" s="56">
        <f t="shared" si="1"/>
        <v>3</v>
      </c>
      <c r="J18" s="50">
        <v>3</v>
      </c>
      <c r="K18" s="50">
        <v>2</v>
      </c>
      <c r="L18" s="51">
        <f t="shared" si="2"/>
        <v>4</v>
      </c>
      <c r="M18" s="50">
        <v>2</v>
      </c>
      <c r="N18" s="50">
        <v>2</v>
      </c>
      <c r="O18" s="51">
        <f t="shared" si="3"/>
        <v>3</v>
      </c>
      <c r="P18" s="50">
        <v>2</v>
      </c>
      <c r="Q18" s="50">
        <v>2</v>
      </c>
      <c r="R18" s="51">
        <f t="shared" si="4"/>
        <v>3</v>
      </c>
      <c r="S18" s="50">
        <v>3</v>
      </c>
      <c r="T18" s="50">
        <v>3</v>
      </c>
      <c r="U18" s="51">
        <f t="shared" si="5"/>
        <v>5</v>
      </c>
    </row>
    <row r="19" spans="2:21" ht="45" customHeight="1" x14ac:dyDescent="0.3">
      <c r="B19" s="64" t="s">
        <v>114</v>
      </c>
      <c r="C19" s="65"/>
      <c r="D19" s="50">
        <v>1</v>
      </c>
      <c r="E19" s="50">
        <v>1</v>
      </c>
      <c r="F19" s="51">
        <f t="shared" si="0"/>
        <v>1</v>
      </c>
      <c r="G19" s="50">
        <v>4</v>
      </c>
      <c r="H19" s="50">
        <v>4</v>
      </c>
      <c r="I19" s="56">
        <f t="shared" si="1"/>
        <v>7</v>
      </c>
      <c r="J19" s="50">
        <v>2</v>
      </c>
      <c r="K19" s="50">
        <v>3</v>
      </c>
      <c r="L19" s="51">
        <f t="shared" si="2"/>
        <v>4</v>
      </c>
      <c r="M19" s="50">
        <v>3</v>
      </c>
      <c r="N19" s="50">
        <v>2</v>
      </c>
      <c r="O19" s="51">
        <f t="shared" si="3"/>
        <v>4</v>
      </c>
      <c r="P19" s="50">
        <v>3</v>
      </c>
      <c r="Q19" s="50">
        <v>2</v>
      </c>
      <c r="R19" s="51">
        <f t="shared" si="4"/>
        <v>4</v>
      </c>
      <c r="S19" s="50">
        <v>3</v>
      </c>
      <c r="T19" s="50">
        <v>3</v>
      </c>
      <c r="U19" s="51">
        <f t="shared" si="5"/>
        <v>5</v>
      </c>
    </row>
    <row r="20" spans="2:21" ht="45" customHeight="1" x14ac:dyDescent="0.3">
      <c r="B20" s="64" t="s">
        <v>115</v>
      </c>
      <c r="C20" s="65"/>
      <c r="D20" s="50">
        <v>2</v>
      </c>
      <c r="E20" s="50">
        <v>2</v>
      </c>
      <c r="F20" s="51">
        <f t="shared" si="0"/>
        <v>3</v>
      </c>
      <c r="G20" s="50">
        <v>2</v>
      </c>
      <c r="H20" s="50">
        <v>2</v>
      </c>
      <c r="I20" s="56">
        <f t="shared" si="1"/>
        <v>3</v>
      </c>
      <c r="J20" s="50">
        <v>1</v>
      </c>
      <c r="K20" s="50">
        <v>1</v>
      </c>
      <c r="L20" s="51">
        <f t="shared" si="2"/>
        <v>1</v>
      </c>
      <c r="M20" s="50">
        <v>2</v>
      </c>
      <c r="N20" s="50">
        <v>2</v>
      </c>
      <c r="O20" s="51">
        <f t="shared" si="3"/>
        <v>3</v>
      </c>
      <c r="P20" s="50">
        <v>2</v>
      </c>
      <c r="Q20" s="50">
        <v>3</v>
      </c>
      <c r="R20" s="51">
        <f t="shared" si="4"/>
        <v>4</v>
      </c>
      <c r="S20" s="50">
        <v>3</v>
      </c>
      <c r="T20" s="50">
        <v>3</v>
      </c>
      <c r="U20" s="51">
        <f t="shared" si="5"/>
        <v>5</v>
      </c>
    </row>
    <row r="21" spans="2:21" ht="29.1" customHeight="1" x14ac:dyDescent="0.3">
      <c r="B21" s="64" t="s">
        <v>116</v>
      </c>
      <c r="C21" s="65"/>
      <c r="D21" s="50">
        <v>1</v>
      </c>
      <c r="E21" s="50">
        <v>1</v>
      </c>
      <c r="F21" s="51">
        <f t="shared" si="0"/>
        <v>1</v>
      </c>
      <c r="G21" s="50">
        <v>2</v>
      </c>
      <c r="H21" s="50">
        <v>2</v>
      </c>
      <c r="I21" s="56">
        <f t="shared" si="1"/>
        <v>3</v>
      </c>
      <c r="J21" s="50">
        <v>2</v>
      </c>
      <c r="K21" s="50">
        <v>2</v>
      </c>
      <c r="L21" s="51">
        <f t="shared" si="2"/>
        <v>3</v>
      </c>
      <c r="M21" s="50">
        <v>2</v>
      </c>
      <c r="N21" s="50">
        <v>2</v>
      </c>
      <c r="O21" s="51">
        <f t="shared" si="3"/>
        <v>3</v>
      </c>
      <c r="P21" s="50">
        <v>3</v>
      </c>
      <c r="Q21" s="50">
        <v>3</v>
      </c>
      <c r="R21" s="51">
        <f t="shared" si="4"/>
        <v>5</v>
      </c>
      <c r="S21" s="50">
        <v>3</v>
      </c>
      <c r="T21" s="50">
        <v>3</v>
      </c>
      <c r="U21" s="51">
        <f t="shared" si="5"/>
        <v>5</v>
      </c>
    </row>
    <row r="22" spans="2:21" ht="44.1" customHeight="1" x14ac:dyDescent="0.3">
      <c r="B22" s="64" t="s">
        <v>117</v>
      </c>
      <c r="C22" s="65"/>
      <c r="D22" s="50">
        <v>3</v>
      </c>
      <c r="E22" s="50">
        <v>2</v>
      </c>
      <c r="F22" s="51">
        <f t="shared" si="0"/>
        <v>4</v>
      </c>
      <c r="G22" s="50">
        <v>4</v>
      </c>
      <c r="H22" s="50">
        <v>3</v>
      </c>
      <c r="I22" s="56">
        <f t="shared" si="1"/>
        <v>6</v>
      </c>
      <c r="J22" s="50">
        <v>3</v>
      </c>
      <c r="K22" s="50">
        <v>2</v>
      </c>
      <c r="L22" s="51">
        <f t="shared" si="2"/>
        <v>4</v>
      </c>
      <c r="M22" s="50">
        <v>3</v>
      </c>
      <c r="N22" s="50">
        <v>3</v>
      </c>
      <c r="O22" s="51">
        <f t="shared" si="3"/>
        <v>5</v>
      </c>
      <c r="P22" s="50">
        <v>4</v>
      </c>
      <c r="Q22" s="50">
        <v>3</v>
      </c>
      <c r="R22" s="51">
        <f t="shared" si="4"/>
        <v>6</v>
      </c>
      <c r="S22" s="50">
        <v>3</v>
      </c>
      <c r="T22" s="50">
        <v>3</v>
      </c>
      <c r="U22" s="51">
        <f t="shared" si="5"/>
        <v>5</v>
      </c>
    </row>
    <row r="23" spans="2:21" ht="29.1" customHeight="1" x14ac:dyDescent="0.3">
      <c r="B23" s="64" t="s">
        <v>118</v>
      </c>
      <c r="C23" s="65"/>
      <c r="D23" s="50">
        <v>2</v>
      </c>
      <c r="E23" s="50">
        <v>2</v>
      </c>
      <c r="F23" s="51">
        <f t="shared" si="0"/>
        <v>3</v>
      </c>
      <c r="G23" s="50">
        <v>2</v>
      </c>
      <c r="H23" s="50">
        <v>2</v>
      </c>
      <c r="I23" s="56">
        <f t="shared" si="1"/>
        <v>3</v>
      </c>
      <c r="J23" s="50">
        <v>2</v>
      </c>
      <c r="K23" s="50">
        <v>2</v>
      </c>
      <c r="L23" s="51">
        <f t="shared" si="2"/>
        <v>3</v>
      </c>
      <c r="M23" s="50">
        <v>3</v>
      </c>
      <c r="N23" s="50">
        <v>2</v>
      </c>
      <c r="O23" s="51">
        <f t="shared" si="3"/>
        <v>4</v>
      </c>
      <c r="P23" s="50">
        <v>2</v>
      </c>
      <c r="Q23" s="50">
        <v>2</v>
      </c>
      <c r="R23" s="51">
        <f t="shared" si="4"/>
        <v>3</v>
      </c>
      <c r="S23" s="50">
        <v>3</v>
      </c>
      <c r="T23" s="50">
        <v>3</v>
      </c>
      <c r="U23" s="51">
        <f t="shared" si="5"/>
        <v>5</v>
      </c>
    </row>
    <row r="24" spans="2:21" ht="41.1" customHeight="1" x14ac:dyDescent="0.3">
      <c r="B24" s="66" t="s">
        <v>119</v>
      </c>
      <c r="C24" s="67"/>
      <c r="D24" s="50">
        <v>2</v>
      </c>
      <c r="E24" s="50">
        <v>1</v>
      </c>
      <c r="F24" s="51">
        <f t="shared" si="0"/>
        <v>2</v>
      </c>
      <c r="G24" s="50">
        <v>3</v>
      </c>
      <c r="H24" s="50">
        <v>3</v>
      </c>
      <c r="I24" s="56">
        <f t="shared" si="1"/>
        <v>5</v>
      </c>
      <c r="J24" s="50">
        <v>2</v>
      </c>
      <c r="K24" s="50">
        <v>3</v>
      </c>
      <c r="L24" s="51">
        <f t="shared" si="2"/>
        <v>4</v>
      </c>
      <c r="M24" s="50">
        <v>2</v>
      </c>
      <c r="N24" s="50">
        <v>3</v>
      </c>
      <c r="O24" s="51">
        <f t="shared" si="3"/>
        <v>4</v>
      </c>
      <c r="P24" s="50">
        <v>3</v>
      </c>
      <c r="Q24" s="50">
        <v>3</v>
      </c>
      <c r="R24" s="51">
        <f t="shared" si="4"/>
        <v>5</v>
      </c>
      <c r="S24" s="50">
        <v>3</v>
      </c>
      <c r="T24" s="50">
        <v>3</v>
      </c>
      <c r="U24" s="51">
        <f t="shared" si="5"/>
        <v>5</v>
      </c>
    </row>
    <row r="25" spans="2:21" ht="38.1" customHeight="1" x14ac:dyDescent="0.3">
      <c r="B25" s="64" t="s">
        <v>120</v>
      </c>
      <c r="C25" s="65"/>
      <c r="D25" s="50">
        <v>2</v>
      </c>
      <c r="E25" s="50">
        <v>2</v>
      </c>
      <c r="F25" s="51">
        <f t="shared" si="0"/>
        <v>3</v>
      </c>
      <c r="G25" s="50">
        <v>3</v>
      </c>
      <c r="H25" s="50">
        <v>2</v>
      </c>
      <c r="I25" s="56">
        <f t="shared" si="1"/>
        <v>4</v>
      </c>
      <c r="J25" s="50">
        <v>3</v>
      </c>
      <c r="K25" s="50">
        <v>2</v>
      </c>
      <c r="L25" s="51">
        <f t="shared" si="2"/>
        <v>4</v>
      </c>
      <c r="M25" s="50">
        <v>1</v>
      </c>
      <c r="N25" s="50">
        <v>1</v>
      </c>
      <c r="O25" s="51">
        <f t="shared" si="3"/>
        <v>1</v>
      </c>
      <c r="P25" s="50">
        <v>2</v>
      </c>
      <c r="Q25" s="50">
        <v>2</v>
      </c>
      <c r="R25" s="51">
        <f t="shared" si="4"/>
        <v>3</v>
      </c>
      <c r="S25" s="50">
        <v>3</v>
      </c>
      <c r="T25" s="50">
        <v>3</v>
      </c>
      <c r="U25" s="51">
        <v>4</v>
      </c>
    </row>
    <row r="26" spans="2:21" ht="44.1" customHeight="1" x14ac:dyDescent="0.3">
      <c r="B26" s="64" t="s">
        <v>121</v>
      </c>
      <c r="C26" s="65"/>
      <c r="D26" s="50">
        <v>2</v>
      </c>
      <c r="E26" s="50">
        <v>2</v>
      </c>
      <c r="F26" s="51">
        <f t="shared" si="0"/>
        <v>3</v>
      </c>
      <c r="G26" s="50">
        <v>2</v>
      </c>
      <c r="H26" s="50">
        <v>2</v>
      </c>
      <c r="I26" s="56">
        <f t="shared" si="1"/>
        <v>3</v>
      </c>
      <c r="J26" s="50">
        <v>2</v>
      </c>
      <c r="K26" s="50">
        <v>2</v>
      </c>
      <c r="L26" s="51">
        <f t="shared" si="2"/>
        <v>3</v>
      </c>
      <c r="M26" s="50">
        <v>2</v>
      </c>
      <c r="N26" s="50">
        <v>2</v>
      </c>
      <c r="O26" s="51">
        <f t="shared" si="3"/>
        <v>3</v>
      </c>
      <c r="P26" s="50">
        <v>2</v>
      </c>
      <c r="Q26" s="50">
        <v>2</v>
      </c>
      <c r="R26" s="51">
        <f t="shared" si="4"/>
        <v>3</v>
      </c>
      <c r="S26" s="50">
        <v>3</v>
      </c>
      <c r="T26" s="50">
        <v>3</v>
      </c>
      <c r="U26" s="51">
        <v>4</v>
      </c>
    </row>
  </sheetData>
  <mergeCells count="26">
    <mergeCell ref="B6:C6"/>
    <mergeCell ref="B1:U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B26:C26"/>
    <mergeCell ref="B19:C19"/>
    <mergeCell ref="B20:C20"/>
    <mergeCell ref="B21:C21"/>
    <mergeCell ref="B22:C22"/>
    <mergeCell ref="B23:C23"/>
    <mergeCell ref="B24:C24"/>
  </mergeCells>
  <conditionalFormatting sqref="D3:F26 I3:U26">
    <cfRule type="cellIs" priority="1" operator="lessThan">
      <formula>1</formula>
    </cfRule>
  </conditionalFormatting>
  <conditionalFormatting sqref="F3:F26 I3:I26 L3:L26 O3:O26 R3:R26 U3:U26">
    <cfRule type="cellIs" dxfId="35" priority="2" stopIfTrue="1" operator="greaterThan">
      <formula>5.4</formula>
    </cfRule>
    <cfRule type="cellIs" dxfId="34" priority="3" stopIfTrue="1" operator="between">
      <formula>0.6</formula>
      <formula>3.4</formula>
    </cfRule>
    <cfRule type="cellIs" dxfId="33" priority="4" stopIfTrue="1" operator="between">
      <formula>3.5</formula>
      <formula>5.4</formula>
    </cfRule>
  </conditionalFormatting>
  <pageMargins left="0.4" right="0.4" top="0.4" bottom="0.4" header="0" footer="0"/>
  <pageSetup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63349-E29B-42AF-BD13-9A5ABBAF2E4B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45633-F257-4323-BB8D-DEFDACD468FA}">
  <sheetPr>
    <tabColor theme="3" tint="0.39997558519241921"/>
  </sheetPr>
  <dimension ref="B1:AH40"/>
  <sheetViews>
    <sheetView showGridLines="0" zoomScale="80" zoomScaleNormal="80" workbookViewId="0">
      <pane ySplit="2" topLeftCell="A6" activePane="bottomLeft" state="frozen"/>
      <selection activeCell="B1" sqref="B1"/>
      <selection pane="bottomLeft" activeCell="B14" sqref="B14:C14"/>
    </sheetView>
  </sheetViews>
  <sheetFormatPr defaultColWidth="11" defaultRowHeight="15" x14ac:dyDescent="0.3"/>
  <cols>
    <col min="1" max="1" width="3.375" style="2" customWidth="1"/>
    <col min="2" max="2" width="11.875" style="6" customWidth="1"/>
    <col min="3" max="3" width="22.875" style="7" customWidth="1"/>
    <col min="4" max="4" width="12.875" style="6" customWidth="1"/>
    <col min="5" max="5" width="12.875" style="5" customWidth="1"/>
    <col min="6" max="6" width="12.875" style="7" customWidth="1"/>
    <col min="7" max="7" width="12.875" style="6" customWidth="1"/>
    <col min="8" max="8" width="12.875" style="5" customWidth="1"/>
    <col min="9" max="9" width="12.875" style="7" customWidth="1"/>
    <col min="10" max="10" width="12.875" style="6" customWidth="1"/>
    <col min="11" max="11" width="12.875" style="5" customWidth="1"/>
    <col min="12" max="12" width="12.875" style="7" customWidth="1"/>
    <col min="13" max="13" width="12.875" style="6" customWidth="1"/>
    <col min="14" max="14" width="12.875" style="5" customWidth="1"/>
    <col min="15" max="15" width="12.875" style="7" customWidth="1"/>
    <col min="16" max="16" width="12.875" style="6" customWidth="1"/>
    <col min="17" max="17" width="12.875" style="5" customWidth="1"/>
    <col min="18" max="27" width="12.875" style="7" customWidth="1"/>
    <col min="28" max="28" width="3.375" style="2" customWidth="1"/>
    <col min="29" max="29" width="11.875" style="2" hidden="1" customWidth="1"/>
    <col min="30" max="30" width="3.375" style="2" hidden="1" customWidth="1"/>
    <col min="31" max="31" width="11.875" style="2" hidden="1" customWidth="1"/>
    <col min="32" max="32" width="11" style="2" hidden="1" customWidth="1"/>
    <col min="33" max="33" width="3.375" style="2" hidden="1" customWidth="1"/>
    <col min="34" max="34" width="11" style="2" hidden="1" customWidth="1"/>
    <col min="35" max="35" width="3.375" style="2" customWidth="1"/>
    <col min="36" max="16384" width="11" style="2"/>
  </cols>
  <sheetData>
    <row r="1" spans="2:34" s="1" customFormat="1" ht="58.5" customHeight="1" thickBot="1" x14ac:dyDescent="0.3">
      <c r="B1" s="98" t="s">
        <v>38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100"/>
    </row>
    <row r="2" spans="2:34" ht="50.1" customHeight="1" thickBot="1" x14ac:dyDescent="0.35">
      <c r="B2" s="101" t="s">
        <v>1</v>
      </c>
      <c r="C2" s="102"/>
      <c r="D2" s="23" t="s">
        <v>39</v>
      </c>
      <c r="E2" s="24" t="s">
        <v>40</v>
      </c>
      <c r="F2" s="25" t="s">
        <v>41</v>
      </c>
      <c r="G2" s="23" t="s">
        <v>42</v>
      </c>
      <c r="H2" s="24" t="s">
        <v>43</v>
      </c>
      <c r="I2" s="25" t="s">
        <v>44</v>
      </c>
      <c r="J2" s="23" t="s">
        <v>45</v>
      </c>
      <c r="K2" s="24" t="s">
        <v>46</v>
      </c>
      <c r="L2" s="25" t="s">
        <v>47</v>
      </c>
      <c r="M2" s="23" t="s">
        <v>48</v>
      </c>
      <c r="N2" s="24" t="s">
        <v>49</v>
      </c>
      <c r="O2" s="25" t="s">
        <v>50</v>
      </c>
      <c r="P2" s="24" t="s">
        <v>51</v>
      </c>
      <c r="Q2" s="24" t="s">
        <v>52</v>
      </c>
      <c r="R2" s="24" t="s">
        <v>53</v>
      </c>
      <c r="S2" s="23" t="s">
        <v>54</v>
      </c>
      <c r="T2" s="24" t="s">
        <v>55</v>
      </c>
      <c r="U2" s="25" t="s">
        <v>56</v>
      </c>
      <c r="V2" s="23" t="s">
        <v>57</v>
      </c>
      <c r="W2" s="24" t="s">
        <v>58</v>
      </c>
      <c r="X2" s="25" t="s">
        <v>59</v>
      </c>
      <c r="Y2" s="23" t="s">
        <v>60</v>
      </c>
      <c r="Z2" s="24" t="s">
        <v>61</v>
      </c>
      <c r="AA2" s="25" t="s">
        <v>62</v>
      </c>
      <c r="AC2" s="13" t="s">
        <v>63</v>
      </c>
      <c r="AD2" s="3"/>
      <c r="AE2" s="3"/>
      <c r="AF2" s="3"/>
      <c r="AG2" s="3"/>
      <c r="AH2" s="3"/>
    </row>
    <row r="3" spans="2:34" ht="45" customHeight="1" thickBot="1" x14ac:dyDescent="0.35">
      <c r="B3" s="94" t="s">
        <v>64</v>
      </c>
      <c r="C3" s="95"/>
      <c r="D3" s="26">
        <v>1</v>
      </c>
      <c r="E3" s="20">
        <v>1</v>
      </c>
      <c r="F3" s="30">
        <f t="shared" ref="F3:F22" si="0">D3+E3-1</f>
        <v>1</v>
      </c>
      <c r="G3" s="26">
        <v>1</v>
      </c>
      <c r="H3" s="20">
        <v>1</v>
      </c>
      <c r="I3" s="27">
        <f>G3+H3-1</f>
        <v>1</v>
      </c>
      <c r="J3" s="26">
        <v>1</v>
      </c>
      <c r="K3" s="20">
        <v>1</v>
      </c>
      <c r="L3" s="27">
        <f t="shared" ref="L3:L22" si="1">J3+K3-1</f>
        <v>1</v>
      </c>
      <c r="M3" s="26">
        <v>1</v>
      </c>
      <c r="N3" s="20">
        <v>1</v>
      </c>
      <c r="O3" s="27">
        <f t="shared" ref="O3:O22" si="2">M3+N3-1</f>
        <v>1</v>
      </c>
      <c r="P3" s="26">
        <v>1</v>
      </c>
      <c r="Q3" s="20">
        <v>3</v>
      </c>
      <c r="R3" s="27">
        <f t="shared" ref="R3:R22" si="3">P3+Q3-1</f>
        <v>3</v>
      </c>
      <c r="S3" s="26">
        <v>1</v>
      </c>
      <c r="T3" s="20">
        <v>1</v>
      </c>
      <c r="U3" s="27">
        <f t="shared" ref="U3:U22" si="4">S3+T3-1</f>
        <v>1</v>
      </c>
      <c r="V3" s="26">
        <v>1</v>
      </c>
      <c r="W3" s="20">
        <v>1</v>
      </c>
      <c r="X3" s="27">
        <f t="shared" ref="X3:X22" si="5">V3+W3-1</f>
        <v>1</v>
      </c>
      <c r="Y3" s="26">
        <v>1</v>
      </c>
      <c r="Z3" s="20">
        <v>3</v>
      </c>
      <c r="AA3" s="27">
        <f t="shared" ref="AA3:AA22" si="6">Y3+Z3-1</f>
        <v>3</v>
      </c>
      <c r="AC3" s="4">
        <v>0</v>
      </c>
      <c r="AD3" s="5"/>
      <c r="AE3">
        <f>IF((AND(G36&gt;4.99,M39&lt;0.021)),M32*36,M32)</f>
        <v>48</v>
      </c>
    </row>
    <row r="4" spans="2:34" ht="45" customHeight="1" thickBot="1" x14ac:dyDescent="0.35">
      <c r="B4" s="94" t="s">
        <v>65</v>
      </c>
      <c r="C4" s="95" t="s">
        <v>33</v>
      </c>
      <c r="D4" s="21">
        <v>1</v>
      </c>
      <c r="E4" s="22">
        <v>3</v>
      </c>
      <c r="F4" s="31">
        <f t="shared" si="0"/>
        <v>3</v>
      </c>
      <c r="G4" s="21">
        <v>1</v>
      </c>
      <c r="H4" s="22">
        <v>4</v>
      </c>
      <c r="I4" s="28">
        <f t="shared" ref="I4:I22" si="7">G4+H4-1</f>
        <v>4</v>
      </c>
      <c r="J4" s="21">
        <v>1</v>
      </c>
      <c r="K4" s="22">
        <v>3</v>
      </c>
      <c r="L4" s="28">
        <f t="shared" si="1"/>
        <v>3</v>
      </c>
      <c r="M4" s="21">
        <v>1</v>
      </c>
      <c r="N4" s="22">
        <v>3</v>
      </c>
      <c r="O4" s="28">
        <f t="shared" si="2"/>
        <v>3</v>
      </c>
      <c r="P4" s="21">
        <v>1</v>
      </c>
      <c r="Q4" s="22">
        <v>4</v>
      </c>
      <c r="R4" s="28">
        <f t="shared" si="3"/>
        <v>4</v>
      </c>
      <c r="S4" s="21">
        <v>1</v>
      </c>
      <c r="T4" s="22">
        <v>4</v>
      </c>
      <c r="U4" s="28">
        <f t="shared" si="4"/>
        <v>4</v>
      </c>
      <c r="V4" s="21">
        <v>1</v>
      </c>
      <c r="W4" s="22">
        <v>4</v>
      </c>
      <c r="X4" s="28">
        <f t="shared" si="5"/>
        <v>4</v>
      </c>
      <c r="Y4" s="21">
        <v>4</v>
      </c>
      <c r="Z4" s="22">
        <v>4</v>
      </c>
      <c r="AA4" s="28">
        <f t="shared" si="6"/>
        <v>7</v>
      </c>
      <c r="AC4" s="4">
        <v>1</v>
      </c>
      <c r="AD4" s="5"/>
      <c r="AE4">
        <f>((AE3-(M33*0.3)+(M34*100))/M35)*27</f>
        <v>9.0419528949950936E-2</v>
      </c>
    </row>
    <row r="5" spans="2:34" ht="45" customHeight="1" thickBot="1" x14ac:dyDescent="0.35">
      <c r="B5" s="94" t="s">
        <v>66</v>
      </c>
      <c r="C5" s="95"/>
      <c r="D5" s="26">
        <v>1</v>
      </c>
      <c r="E5" s="20">
        <v>3</v>
      </c>
      <c r="F5" s="30">
        <f t="shared" si="0"/>
        <v>3</v>
      </c>
      <c r="G5" s="26">
        <v>1</v>
      </c>
      <c r="H5" s="20">
        <v>3</v>
      </c>
      <c r="I5" s="27">
        <f t="shared" si="7"/>
        <v>3</v>
      </c>
      <c r="J5" s="26">
        <v>1</v>
      </c>
      <c r="K5" s="20">
        <v>3</v>
      </c>
      <c r="L5" s="27">
        <f t="shared" si="1"/>
        <v>3</v>
      </c>
      <c r="M5" s="26">
        <v>1</v>
      </c>
      <c r="N5" s="20">
        <v>4</v>
      </c>
      <c r="O5" s="27">
        <f t="shared" si="2"/>
        <v>4</v>
      </c>
      <c r="P5" s="26">
        <v>1</v>
      </c>
      <c r="Q5" s="20">
        <v>3</v>
      </c>
      <c r="R5" s="27">
        <f t="shared" si="3"/>
        <v>3</v>
      </c>
      <c r="S5" s="26">
        <v>1</v>
      </c>
      <c r="T5" s="20">
        <v>3</v>
      </c>
      <c r="U5" s="27">
        <f t="shared" si="4"/>
        <v>3</v>
      </c>
      <c r="V5" s="26">
        <v>1</v>
      </c>
      <c r="W5" s="20">
        <v>4</v>
      </c>
      <c r="X5" s="27">
        <f t="shared" si="5"/>
        <v>4</v>
      </c>
      <c r="Y5" s="26">
        <v>1</v>
      </c>
      <c r="Z5" s="20">
        <v>4</v>
      </c>
      <c r="AA5" s="27">
        <f t="shared" si="6"/>
        <v>4</v>
      </c>
      <c r="AC5" s="4">
        <v>2</v>
      </c>
      <c r="AD5" s="5"/>
      <c r="AE5">
        <f>AVERAGE(D26:D34)/4</f>
        <v>0.1875</v>
      </c>
    </row>
    <row r="6" spans="2:34" ht="45" customHeight="1" thickBot="1" x14ac:dyDescent="0.35">
      <c r="B6" s="94" t="s">
        <v>67</v>
      </c>
      <c r="C6" s="95"/>
      <c r="D6" s="21">
        <v>1</v>
      </c>
      <c r="E6" s="22">
        <v>3</v>
      </c>
      <c r="F6" s="31">
        <f t="shared" si="0"/>
        <v>3</v>
      </c>
      <c r="G6" s="21">
        <v>1</v>
      </c>
      <c r="H6" s="22">
        <v>1</v>
      </c>
      <c r="I6" s="28">
        <f t="shared" si="7"/>
        <v>1</v>
      </c>
      <c r="J6" s="21">
        <v>1</v>
      </c>
      <c r="K6" s="22">
        <v>1</v>
      </c>
      <c r="L6" s="28">
        <f t="shared" si="1"/>
        <v>1</v>
      </c>
      <c r="M6" s="21">
        <v>1</v>
      </c>
      <c r="N6" s="22">
        <v>3</v>
      </c>
      <c r="O6" s="28">
        <f t="shared" si="2"/>
        <v>3</v>
      </c>
      <c r="P6" s="21">
        <v>1</v>
      </c>
      <c r="Q6" s="22">
        <v>3</v>
      </c>
      <c r="R6" s="28">
        <f t="shared" si="3"/>
        <v>3</v>
      </c>
      <c r="S6" s="21">
        <v>1</v>
      </c>
      <c r="T6" s="22">
        <v>1</v>
      </c>
      <c r="U6" s="28">
        <f t="shared" si="4"/>
        <v>1</v>
      </c>
      <c r="V6" s="21">
        <v>1</v>
      </c>
      <c r="W6" s="22">
        <v>4</v>
      </c>
      <c r="X6" s="28">
        <f t="shared" si="5"/>
        <v>4</v>
      </c>
      <c r="Y6" s="21">
        <v>1</v>
      </c>
      <c r="Z6" s="22">
        <v>3</v>
      </c>
      <c r="AA6" s="28">
        <f t="shared" si="6"/>
        <v>3</v>
      </c>
      <c r="AC6" s="4">
        <v>3</v>
      </c>
      <c r="AD6" s="5"/>
      <c r="AE6">
        <f>SUM(F26:F34)</f>
        <v>9</v>
      </c>
    </row>
    <row r="7" spans="2:34" ht="45" customHeight="1" thickBot="1" x14ac:dyDescent="0.35">
      <c r="B7" s="94" t="s">
        <v>68</v>
      </c>
      <c r="C7" s="95"/>
      <c r="D7" s="26">
        <v>1</v>
      </c>
      <c r="E7" s="20">
        <v>3</v>
      </c>
      <c r="F7" s="30">
        <f t="shared" si="0"/>
        <v>3</v>
      </c>
      <c r="G7" s="26">
        <v>1</v>
      </c>
      <c r="H7" s="20">
        <v>1</v>
      </c>
      <c r="I7" s="27">
        <f t="shared" si="7"/>
        <v>1</v>
      </c>
      <c r="J7" s="26">
        <v>1</v>
      </c>
      <c r="K7" s="20">
        <v>1</v>
      </c>
      <c r="L7" s="27">
        <f t="shared" si="1"/>
        <v>1</v>
      </c>
      <c r="M7" s="26">
        <v>1</v>
      </c>
      <c r="N7" s="20">
        <v>3</v>
      </c>
      <c r="O7" s="27">
        <f t="shared" si="2"/>
        <v>3</v>
      </c>
      <c r="P7" s="26">
        <v>1</v>
      </c>
      <c r="Q7" s="20">
        <v>3</v>
      </c>
      <c r="R7" s="27">
        <f t="shared" si="3"/>
        <v>3</v>
      </c>
      <c r="S7" s="26">
        <v>1</v>
      </c>
      <c r="T7" s="20">
        <v>3</v>
      </c>
      <c r="U7" s="27">
        <f t="shared" si="4"/>
        <v>3</v>
      </c>
      <c r="V7" s="26">
        <v>1</v>
      </c>
      <c r="W7" s="20">
        <v>3</v>
      </c>
      <c r="X7" s="27">
        <f t="shared" si="5"/>
        <v>3</v>
      </c>
      <c r="Y7" s="26">
        <v>1</v>
      </c>
      <c r="Z7" s="20">
        <v>3</v>
      </c>
      <c r="AA7" s="27">
        <f t="shared" si="6"/>
        <v>3</v>
      </c>
      <c r="AC7" s="4">
        <v>4</v>
      </c>
      <c r="AD7" s="5"/>
    </row>
    <row r="8" spans="2:34" ht="45" customHeight="1" thickBot="1" x14ac:dyDescent="0.35">
      <c r="B8" s="94" t="s">
        <v>37</v>
      </c>
      <c r="C8" s="95"/>
      <c r="D8" s="21">
        <v>1</v>
      </c>
      <c r="E8" s="22">
        <v>3</v>
      </c>
      <c r="F8" s="31">
        <f t="shared" si="0"/>
        <v>3</v>
      </c>
      <c r="G8" s="21">
        <v>1</v>
      </c>
      <c r="H8" s="22">
        <v>3</v>
      </c>
      <c r="I8" s="28">
        <f t="shared" si="7"/>
        <v>3</v>
      </c>
      <c r="J8" s="21">
        <v>1</v>
      </c>
      <c r="K8" s="22">
        <v>3</v>
      </c>
      <c r="L8" s="28">
        <f t="shared" si="1"/>
        <v>3</v>
      </c>
      <c r="M8" s="21">
        <v>1</v>
      </c>
      <c r="N8" s="22">
        <v>1</v>
      </c>
      <c r="O8" s="28">
        <f t="shared" si="2"/>
        <v>1</v>
      </c>
      <c r="P8" s="21">
        <v>4</v>
      </c>
      <c r="Q8" s="22">
        <v>4</v>
      </c>
      <c r="R8" s="28">
        <f t="shared" si="3"/>
        <v>7</v>
      </c>
      <c r="S8" s="21">
        <v>2</v>
      </c>
      <c r="T8" s="22">
        <v>4</v>
      </c>
      <c r="U8" s="28">
        <f t="shared" si="4"/>
        <v>5</v>
      </c>
      <c r="V8" s="21">
        <v>2</v>
      </c>
      <c r="W8" s="22">
        <v>5</v>
      </c>
      <c r="X8" s="28">
        <f t="shared" si="5"/>
        <v>6</v>
      </c>
      <c r="Y8" s="21">
        <v>1</v>
      </c>
      <c r="Z8" s="22">
        <v>3</v>
      </c>
      <c r="AA8" s="28">
        <f t="shared" si="6"/>
        <v>3</v>
      </c>
      <c r="AC8" s="4">
        <v>5</v>
      </c>
    </row>
    <row r="9" spans="2:34" ht="45" customHeight="1" thickBot="1" x14ac:dyDescent="0.35">
      <c r="B9" s="94" t="s">
        <v>69</v>
      </c>
      <c r="C9" s="95"/>
      <c r="D9" s="26">
        <v>1</v>
      </c>
      <c r="E9" s="20">
        <v>1</v>
      </c>
      <c r="F9" s="30">
        <f t="shared" si="0"/>
        <v>1</v>
      </c>
      <c r="G9" s="26">
        <v>3</v>
      </c>
      <c r="H9" s="20">
        <v>4</v>
      </c>
      <c r="I9" s="27">
        <f t="shared" si="7"/>
        <v>6</v>
      </c>
      <c r="J9" s="26">
        <v>1</v>
      </c>
      <c r="K9" s="20">
        <v>3</v>
      </c>
      <c r="L9" s="27">
        <f t="shared" si="1"/>
        <v>3</v>
      </c>
      <c r="M9" s="26">
        <v>1</v>
      </c>
      <c r="N9" s="20">
        <v>3</v>
      </c>
      <c r="O9" s="27">
        <f t="shared" si="2"/>
        <v>3</v>
      </c>
      <c r="P9" s="26">
        <v>1</v>
      </c>
      <c r="Q9" s="20">
        <v>5</v>
      </c>
      <c r="R9" s="27">
        <f t="shared" si="3"/>
        <v>5</v>
      </c>
      <c r="S9" s="26">
        <v>4</v>
      </c>
      <c r="T9" s="20">
        <v>4</v>
      </c>
      <c r="U9" s="27">
        <f t="shared" si="4"/>
        <v>7</v>
      </c>
      <c r="V9" s="26">
        <v>1</v>
      </c>
      <c r="W9" s="20">
        <v>1</v>
      </c>
      <c r="X9" s="27">
        <f t="shared" si="5"/>
        <v>1</v>
      </c>
      <c r="Y9" s="26">
        <v>1</v>
      </c>
      <c r="Z9" s="20">
        <v>1</v>
      </c>
      <c r="AA9" s="27">
        <f t="shared" si="6"/>
        <v>1</v>
      </c>
      <c r="AC9" s="4">
        <v>6</v>
      </c>
    </row>
    <row r="10" spans="2:34" ht="45" customHeight="1" thickBot="1" x14ac:dyDescent="0.35">
      <c r="B10" s="94" t="s">
        <v>23</v>
      </c>
      <c r="C10" s="95"/>
      <c r="D10" s="26">
        <v>1</v>
      </c>
      <c r="E10" s="20">
        <v>4</v>
      </c>
      <c r="F10" s="30">
        <f t="shared" si="0"/>
        <v>4</v>
      </c>
      <c r="G10" s="26">
        <v>1</v>
      </c>
      <c r="H10" s="20">
        <v>3</v>
      </c>
      <c r="I10" s="27">
        <f t="shared" si="7"/>
        <v>3</v>
      </c>
      <c r="J10" s="26">
        <v>1</v>
      </c>
      <c r="K10" s="20">
        <v>3</v>
      </c>
      <c r="L10" s="27">
        <f t="shared" si="1"/>
        <v>3</v>
      </c>
      <c r="M10" s="26">
        <v>1</v>
      </c>
      <c r="N10" s="20">
        <v>4</v>
      </c>
      <c r="O10" s="27">
        <f t="shared" si="2"/>
        <v>4</v>
      </c>
      <c r="P10" s="26">
        <v>5</v>
      </c>
      <c r="Q10" s="20">
        <v>5</v>
      </c>
      <c r="R10" s="27">
        <f t="shared" si="3"/>
        <v>9</v>
      </c>
      <c r="S10" s="26">
        <v>1</v>
      </c>
      <c r="T10" s="20">
        <v>5</v>
      </c>
      <c r="U10" s="27">
        <f t="shared" si="4"/>
        <v>5</v>
      </c>
      <c r="V10" s="26">
        <v>1</v>
      </c>
      <c r="W10" s="20">
        <v>3</v>
      </c>
      <c r="X10" s="27">
        <f t="shared" si="5"/>
        <v>3</v>
      </c>
      <c r="Y10" s="26">
        <v>5</v>
      </c>
      <c r="Z10" s="20">
        <v>4</v>
      </c>
      <c r="AA10" s="27">
        <f t="shared" si="6"/>
        <v>8</v>
      </c>
      <c r="AC10" s="4">
        <v>7</v>
      </c>
    </row>
    <row r="11" spans="2:34" ht="45" customHeight="1" thickBot="1" x14ac:dyDescent="0.35">
      <c r="B11" s="94" t="s">
        <v>36</v>
      </c>
      <c r="C11" s="95"/>
      <c r="D11" s="21">
        <v>1</v>
      </c>
      <c r="E11" s="22">
        <v>3</v>
      </c>
      <c r="F11" s="31">
        <f t="shared" si="0"/>
        <v>3</v>
      </c>
      <c r="G11" s="21">
        <v>1</v>
      </c>
      <c r="H11" s="22">
        <v>3</v>
      </c>
      <c r="I11" s="28">
        <f t="shared" si="7"/>
        <v>3</v>
      </c>
      <c r="J11" s="21">
        <v>1</v>
      </c>
      <c r="K11" s="22">
        <v>3</v>
      </c>
      <c r="L11" s="28">
        <f t="shared" si="1"/>
        <v>3</v>
      </c>
      <c r="M11" s="21">
        <v>1</v>
      </c>
      <c r="N11" s="22">
        <v>1</v>
      </c>
      <c r="O11" s="28">
        <f t="shared" si="2"/>
        <v>1</v>
      </c>
      <c r="P11" s="21">
        <v>5</v>
      </c>
      <c r="Q11" s="22">
        <v>4</v>
      </c>
      <c r="R11" s="28">
        <f t="shared" si="3"/>
        <v>8</v>
      </c>
      <c r="S11" s="21">
        <v>1</v>
      </c>
      <c r="T11" s="22">
        <v>3</v>
      </c>
      <c r="U11" s="28">
        <f t="shared" si="4"/>
        <v>3</v>
      </c>
      <c r="V11" s="21">
        <v>1</v>
      </c>
      <c r="W11" s="22">
        <v>1</v>
      </c>
      <c r="X11" s="28">
        <f t="shared" si="5"/>
        <v>1</v>
      </c>
      <c r="Y11" s="21">
        <v>1</v>
      </c>
      <c r="Z11" s="22">
        <v>3</v>
      </c>
      <c r="AA11" s="28">
        <f t="shared" si="6"/>
        <v>3</v>
      </c>
      <c r="AC11" s="4">
        <v>8</v>
      </c>
    </row>
    <row r="12" spans="2:34" ht="45" customHeight="1" thickBot="1" x14ac:dyDescent="0.35">
      <c r="B12" s="94" t="s">
        <v>70</v>
      </c>
      <c r="C12" s="95"/>
      <c r="D12" s="26">
        <v>1</v>
      </c>
      <c r="E12" s="20">
        <v>1</v>
      </c>
      <c r="F12" s="30">
        <f t="shared" si="0"/>
        <v>1</v>
      </c>
      <c r="G12" s="26">
        <v>1</v>
      </c>
      <c r="H12" s="20">
        <v>3</v>
      </c>
      <c r="I12" s="27">
        <f t="shared" si="7"/>
        <v>3</v>
      </c>
      <c r="J12" s="26">
        <v>1</v>
      </c>
      <c r="K12" s="20">
        <v>3</v>
      </c>
      <c r="L12" s="27">
        <f t="shared" si="1"/>
        <v>3</v>
      </c>
      <c r="M12" s="26">
        <v>1</v>
      </c>
      <c r="N12" s="20">
        <v>3</v>
      </c>
      <c r="O12" s="27">
        <f t="shared" si="2"/>
        <v>3</v>
      </c>
      <c r="P12" s="26">
        <v>2</v>
      </c>
      <c r="Q12" s="20">
        <v>4</v>
      </c>
      <c r="R12" s="27">
        <f t="shared" si="3"/>
        <v>5</v>
      </c>
      <c r="S12" s="26">
        <v>1</v>
      </c>
      <c r="T12" s="20">
        <v>1</v>
      </c>
      <c r="U12" s="27">
        <f t="shared" si="4"/>
        <v>1</v>
      </c>
      <c r="V12" s="26">
        <v>1</v>
      </c>
      <c r="W12" s="20">
        <v>4</v>
      </c>
      <c r="X12" s="27">
        <f t="shared" si="5"/>
        <v>4</v>
      </c>
      <c r="Y12" s="26">
        <v>1</v>
      </c>
      <c r="Z12" s="20">
        <v>4</v>
      </c>
      <c r="AA12" s="27">
        <f t="shared" si="6"/>
        <v>4</v>
      </c>
      <c r="AC12" s="4">
        <v>9</v>
      </c>
    </row>
    <row r="13" spans="2:34" ht="45" customHeight="1" thickBot="1" x14ac:dyDescent="0.35">
      <c r="B13" s="94" t="s">
        <v>24</v>
      </c>
      <c r="C13" s="95"/>
      <c r="D13" s="21">
        <v>1</v>
      </c>
      <c r="E13" s="22">
        <v>1</v>
      </c>
      <c r="F13" s="31">
        <f t="shared" si="0"/>
        <v>1</v>
      </c>
      <c r="G13" s="21">
        <v>1</v>
      </c>
      <c r="H13" s="22">
        <v>1</v>
      </c>
      <c r="I13" s="28">
        <f t="shared" si="7"/>
        <v>1</v>
      </c>
      <c r="J13" s="21">
        <v>1</v>
      </c>
      <c r="K13" s="22">
        <v>1</v>
      </c>
      <c r="L13" s="28">
        <f t="shared" si="1"/>
        <v>1</v>
      </c>
      <c r="M13" s="21">
        <v>1</v>
      </c>
      <c r="N13" s="22">
        <v>3</v>
      </c>
      <c r="O13" s="28">
        <f t="shared" si="2"/>
        <v>3</v>
      </c>
      <c r="P13" s="21">
        <v>1</v>
      </c>
      <c r="Q13" s="22">
        <v>4</v>
      </c>
      <c r="R13" s="28">
        <f t="shared" si="3"/>
        <v>4</v>
      </c>
      <c r="S13" s="21">
        <v>2</v>
      </c>
      <c r="T13" s="22">
        <v>4</v>
      </c>
      <c r="U13" s="28">
        <f t="shared" si="4"/>
        <v>5</v>
      </c>
      <c r="V13" s="21">
        <v>1</v>
      </c>
      <c r="W13" s="22">
        <v>3</v>
      </c>
      <c r="X13" s="28">
        <f t="shared" si="5"/>
        <v>3</v>
      </c>
      <c r="Y13" s="21">
        <v>1</v>
      </c>
      <c r="Z13" s="22">
        <v>5</v>
      </c>
      <c r="AA13" s="28">
        <f t="shared" si="6"/>
        <v>5</v>
      </c>
      <c r="AC13" s="4">
        <v>10</v>
      </c>
    </row>
    <row r="14" spans="2:34" ht="45" customHeight="1" thickBot="1" x14ac:dyDescent="0.35">
      <c r="B14" s="94" t="s">
        <v>71</v>
      </c>
      <c r="C14" s="95"/>
      <c r="D14" s="26">
        <v>1</v>
      </c>
      <c r="E14" s="20">
        <v>3</v>
      </c>
      <c r="F14" s="30">
        <f t="shared" si="0"/>
        <v>3</v>
      </c>
      <c r="G14" s="26">
        <v>1</v>
      </c>
      <c r="H14" s="20">
        <v>3</v>
      </c>
      <c r="I14" s="27">
        <f t="shared" si="7"/>
        <v>3</v>
      </c>
      <c r="J14" s="26">
        <v>1</v>
      </c>
      <c r="K14" s="20">
        <v>3</v>
      </c>
      <c r="L14" s="27">
        <f t="shared" si="1"/>
        <v>3</v>
      </c>
      <c r="M14" s="26">
        <v>1</v>
      </c>
      <c r="N14" s="20">
        <v>3</v>
      </c>
      <c r="O14" s="27">
        <f t="shared" si="2"/>
        <v>3</v>
      </c>
      <c r="P14" s="26">
        <v>3</v>
      </c>
      <c r="Q14" s="20">
        <v>5</v>
      </c>
      <c r="R14" s="27">
        <f t="shared" si="3"/>
        <v>7</v>
      </c>
      <c r="S14" s="26">
        <v>1</v>
      </c>
      <c r="T14" s="20">
        <v>4</v>
      </c>
      <c r="U14" s="27">
        <f t="shared" si="4"/>
        <v>4</v>
      </c>
      <c r="V14" s="26">
        <v>1</v>
      </c>
      <c r="W14" s="20">
        <v>1</v>
      </c>
      <c r="X14" s="27">
        <f t="shared" si="5"/>
        <v>1</v>
      </c>
      <c r="Y14" s="26">
        <v>1</v>
      </c>
      <c r="Z14" s="20">
        <v>4</v>
      </c>
      <c r="AA14" s="27">
        <f t="shared" si="6"/>
        <v>4</v>
      </c>
      <c r="AC14" s="4">
        <v>11</v>
      </c>
    </row>
    <row r="15" spans="2:34" ht="45" customHeight="1" thickBot="1" x14ac:dyDescent="0.35">
      <c r="B15" s="94" t="s">
        <v>72</v>
      </c>
      <c r="C15" s="95" t="s">
        <v>21</v>
      </c>
      <c r="D15" s="21">
        <v>4</v>
      </c>
      <c r="E15" s="22">
        <v>4</v>
      </c>
      <c r="F15" s="31">
        <f t="shared" si="0"/>
        <v>7</v>
      </c>
      <c r="G15" s="21">
        <v>2</v>
      </c>
      <c r="H15" s="22">
        <v>3</v>
      </c>
      <c r="I15" s="28">
        <f t="shared" si="7"/>
        <v>4</v>
      </c>
      <c r="J15" s="21">
        <v>1</v>
      </c>
      <c r="K15" s="22">
        <v>3</v>
      </c>
      <c r="L15" s="28">
        <f t="shared" si="1"/>
        <v>3</v>
      </c>
      <c r="M15" s="21">
        <v>5</v>
      </c>
      <c r="N15" s="22">
        <v>4</v>
      </c>
      <c r="O15" s="28">
        <f t="shared" si="2"/>
        <v>8</v>
      </c>
      <c r="P15" s="21">
        <v>5</v>
      </c>
      <c r="Q15" s="22">
        <v>5</v>
      </c>
      <c r="R15" s="28">
        <f t="shared" si="3"/>
        <v>9</v>
      </c>
      <c r="S15" s="21">
        <v>5</v>
      </c>
      <c r="T15" s="22">
        <v>5</v>
      </c>
      <c r="U15" s="28">
        <f t="shared" si="4"/>
        <v>9</v>
      </c>
      <c r="V15" s="21">
        <v>2</v>
      </c>
      <c r="W15" s="22">
        <v>5</v>
      </c>
      <c r="X15" s="28">
        <f t="shared" si="5"/>
        <v>6</v>
      </c>
      <c r="Y15" s="21">
        <v>2</v>
      </c>
      <c r="Z15" s="22">
        <v>5</v>
      </c>
      <c r="AA15" s="28">
        <f t="shared" si="6"/>
        <v>6</v>
      </c>
      <c r="AC15" s="4">
        <v>12</v>
      </c>
    </row>
    <row r="16" spans="2:34" ht="45" customHeight="1" thickBot="1" x14ac:dyDescent="0.35">
      <c r="B16" s="94" t="s">
        <v>35</v>
      </c>
      <c r="C16" s="95"/>
      <c r="D16" s="26">
        <v>1</v>
      </c>
      <c r="E16" s="20">
        <v>1</v>
      </c>
      <c r="F16" s="30">
        <f t="shared" si="0"/>
        <v>1</v>
      </c>
      <c r="G16" s="26">
        <v>1</v>
      </c>
      <c r="H16" s="20">
        <v>1</v>
      </c>
      <c r="I16" s="27">
        <f t="shared" si="7"/>
        <v>1</v>
      </c>
      <c r="J16" s="26">
        <v>1</v>
      </c>
      <c r="K16" s="20">
        <v>1</v>
      </c>
      <c r="L16" s="27">
        <f t="shared" si="1"/>
        <v>1</v>
      </c>
      <c r="M16" s="26">
        <v>1</v>
      </c>
      <c r="N16" s="20">
        <v>1</v>
      </c>
      <c r="O16" s="27">
        <f t="shared" si="2"/>
        <v>1</v>
      </c>
      <c r="P16" s="26">
        <v>1</v>
      </c>
      <c r="Q16" s="20">
        <v>4</v>
      </c>
      <c r="R16" s="27">
        <f t="shared" si="3"/>
        <v>4</v>
      </c>
      <c r="S16" s="26">
        <v>1</v>
      </c>
      <c r="T16" s="20">
        <v>3</v>
      </c>
      <c r="U16" s="27">
        <f t="shared" si="4"/>
        <v>3</v>
      </c>
      <c r="V16" s="26">
        <v>1</v>
      </c>
      <c r="W16" s="20">
        <v>4</v>
      </c>
      <c r="X16" s="27">
        <f t="shared" si="5"/>
        <v>4</v>
      </c>
      <c r="Y16" s="26">
        <v>5</v>
      </c>
      <c r="Z16" s="20">
        <v>4</v>
      </c>
      <c r="AA16" s="27">
        <f t="shared" si="6"/>
        <v>8</v>
      </c>
      <c r="AC16" s="4">
        <v>13</v>
      </c>
    </row>
    <row r="17" spans="2:29" ht="45" customHeight="1" thickBot="1" x14ac:dyDescent="0.35">
      <c r="B17" s="94" t="s">
        <v>73</v>
      </c>
      <c r="C17" s="95"/>
      <c r="D17" s="26">
        <v>1</v>
      </c>
      <c r="E17" s="20">
        <v>1</v>
      </c>
      <c r="F17" s="30">
        <f t="shared" si="0"/>
        <v>1</v>
      </c>
      <c r="G17" s="26">
        <v>1</v>
      </c>
      <c r="H17" s="20">
        <v>1</v>
      </c>
      <c r="I17" s="27">
        <f t="shared" si="7"/>
        <v>1</v>
      </c>
      <c r="J17" s="26">
        <v>1</v>
      </c>
      <c r="K17" s="20">
        <v>3</v>
      </c>
      <c r="L17" s="27">
        <f t="shared" si="1"/>
        <v>3</v>
      </c>
      <c r="M17" s="26">
        <v>1</v>
      </c>
      <c r="N17" s="20">
        <v>3</v>
      </c>
      <c r="O17" s="27">
        <f t="shared" si="2"/>
        <v>3</v>
      </c>
      <c r="P17" s="26">
        <v>1</v>
      </c>
      <c r="Q17" s="20">
        <v>4</v>
      </c>
      <c r="R17" s="27">
        <f t="shared" si="3"/>
        <v>4</v>
      </c>
      <c r="S17" s="26">
        <v>1</v>
      </c>
      <c r="T17" s="20">
        <v>4</v>
      </c>
      <c r="U17" s="27">
        <f t="shared" si="4"/>
        <v>4</v>
      </c>
      <c r="V17" s="26">
        <v>1</v>
      </c>
      <c r="W17" s="20">
        <v>1</v>
      </c>
      <c r="X17" s="27">
        <f t="shared" si="5"/>
        <v>1</v>
      </c>
      <c r="Y17" s="26">
        <v>1</v>
      </c>
      <c r="Z17" s="20">
        <v>1</v>
      </c>
      <c r="AA17" s="27">
        <f t="shared" si="6"/>
        <v>1</v>
      </c>
      <c r="AC17" s="4">
        <v>14</v>
      </c>
    </row>
    <row r="18" spans="2:29" ht="45" customHeight="1" thickBot="1" x14ac:dyDescent="0.35">
      <c r="B18" s="94" t="s">
        <v>20</v>
      </c>
      <c r="C18" s="95"/>
      <c r="D18" s="26">
        <v>1</v>
      </c>
      <c r="E18" s="20">
        <v>3</v>
      </c>
      <c r="F18" s="30">
        <f t="shared" si="0"/>
        <v>3</v>
      </c>
      <c r="G18" s="26">
        <v>1</v>
      </c>
      <c r="H18" s="20">
        <v>3</v>
      </c>
      <c r="I18" s="27">
        <f t="shared" si="7"/>
        <v>3</v>
      </c>
      <c r="J18" s="26">
        <v>1</v>
      </c>
      <c r="K18" s="20">
        <v>3</v>
      </c>
      <c r="L18" s="27">
        <f t="shared" si="1"/>
        <v>3</v>
      </c>
      <c r="M18" s="26">
        <v>1</v>
      </c>
      <c r="N18" s="20">
        <v>4</v>
      </c>
      <c r="O18" s="27">
        <f t="shared" si="2"/>
        <v>4</v>
      </c>
      <c r="P18" s="26">
        <v>5</v>
      </c>
      <c r="Q18" s="20">
        <v>5</v>
      </c>
      <c r="R18" s="27">
        <f t="shared" si="3"/>
        <v>9</v>
      </c>
      <c r="S18" s="26">
        <v>1</v>
      </c>
      <c r="T18" s="20">
        <v>4</v>
      </c>
      <c r="U18" s="27">
        <f t="shared" si="4"/>
        <v>4</v>
      </c>
      <c r="V18" s="26">
        <v>1</v>
      </c>
      <c r="W18" s="20">
        <v>4</v>
      </c>
      <c r="X18" s="27">
        <f t="shared" si="5"/>
        <v>4</v>
      </c>
      <c r="Y18" s="26">
        <v>1</v>
      </c>
      <c r="Z18" s="20">
        <v>4</v>
      </c>
      <c r="AA18" s="27">
        <f t="shared" si="6"/>
        <v>4</v>
      </c>
      <c r="AC18" s="4">
        <v>15</v>
      </c>
    </row>
    <row r="19" spans="2:29" ht="45" customHeight="1" thickBot="1" x14ac:dyDescent="0.35">
      <c r="B19" s="94" t="s">
        <v>74</v>
      </c>
      <c r="C19" s="95" t="s">
        <v>27</v>
      </c>
      <c r="D19" s="26">
        <v>1</v>
      </c>
      <c r="E19" s="20">
        <v>4</v>
      </c>
      <c r="F19" s="30">
        <f t="shared" si="0"/>
        <v>4</v>
      </c>
      <c r="G19" s="26">
        <v>1</v>
      </c>
      <c r="H19" s="20">
        <v>3</v>
      </c>
      <c r="I19" s="27">
        <f t="shared" si="7"/>
        <v>3</v>
      </c>
      <c r="J19" s="26">
        <v>1</v>
      </c>
      <c r="K19" s="20">
        <v>4</v>
      </c>
      <c r="L19" s="27">
        <f t="shared" si="1"/>
        <v>4</v>
      </c>
      <c r="M19" s="26">
        <v>1</v>
      </c>
      <c r="N19" s="20">
        <v>3</v>
      </c>
      <c r="O19" s="27">
        <f t="shared" si="2"/>
        <v>3</v>
      </c>
      <c r="P19" s="26">
        <v>5</v>
      </c>
      <c r="Q19" s="20">
        <v>5</v>
      </c>
      <c r="R19" s="27">
        <f t="shared" si="3"/>
        <v>9</v>
      </c>
      <c r="S19" s="26">
        <v>2</v>
      </c>
      <c r="T19" s="20">
        <v>5</v>
      </c>
      <c r="U19" s="27">
        <f t="shared" si="4"/>
        <v>6</v>
      </c>
      <c r="V19" s="26">
        <v>1</v>
      </c>
      <c r="W19" s="20">
        <v>4</v>
      </c>
      <c r="X19" s="27">
        <f t="shared" si="5"/>
        <v>4</v>
      </c>
      <c r="Y19" s="26">
        <v>5</v>
      </c>
      <c r="Z19" s="20">
        <v>5</v>
      </c>
      <c r="AA19" s="27">
        <f t="shared" si="6"/>
        <v>9</v>
      </c>
      <c r="AC19" s="4">
        <v>16</v>
      </c>
    </row>
    <row r="20" spans="2:29" ht="45" customHeight="1" thickBot="1" x14ac:dyDescent="0.35">
      <c r="B20" s="94" t="s">
        <v>75</v>
      </c>
      <c r="C20" s="95" t="s">
        <v>27</v>
      </c>
      <c r="D20" s="26">
        <v>1</v>
      </c>
      <c r="E20" s="20">
        <v>3</v>
      </c>
      <c r="F20" s="30">
        <f t="shared" si="0"/>
        <v>3</v>
      </c>
      <c r="G20" s="26">
        <v>1</v>
      </c>
      <c r="H20" s="20">
        <v>1</v>
      </c>
      <c r="I20" s="27">
        <f t="shared" si="7"/>
        <v>1</v>
      </c>
      <c r="J20" s="26">
        <v>1</v>
      </c>
      <c r="K20" s="20">
        <v>1</v>
      </c>
      <c r="L20" s="27">
        <f t="shared" si="1"/>
        <v>1</v>
      </c>
      <c r="M20" s="26">
        <v>1</v>
      </c>
      <c r="N20" s="20">
        <v>3</v>
      </c>
      <c r="O20" s="27">
        <f t="shared" si="2"/>
        <v>3</v>
      </c>
      <c r="P20" s="26">
        <v>1</v>
      </c>
      <c r="Q20" s="20">
        <v>1</v>
      </c>
      <c r="R20" s="27">
        <f t="shared" si="3"/>
        <v>1</v>
      </c>
      <c r="S20" s="26">
        <v>1</v>
      </c>
      <c r="T20" s="20">
        <v>1</v>
      </c>
      <c r="U20" s="27">
        <f t="shared" si="4"/>
        <v>1</v>
      </c>
      <c r="V20" s="26">
        <v>1</v>
      </c>
      <c r="W20" s="20">
        <v>1</v>
      </c>
      <c r="X20" s="27">
        <f t="shared" si="5"/>
        <v>1</v>
      </c>
      <c r="Y20" s="26">
        <v>4</v>
      </c>
      <c r="Z20" s="20">
        <v>5</v>
      </c>
      <c r="AA20" s="27">
        <f t="shared" si="6"/>
        <v>8</v>
      </c>
      <c r="AC20" s="4">
        <v>17</v>
      </c>
    </row>
    <row r="21" spans="2:29" ht="45" customHeight="1" thickBot="1" x14ac:dyDescent="0.35">
      <c r="B21" s="94" t="s">
        <v>31</v>
      </c>
      <c r="C21" s="95"/>
      <c r="D21" s="18">
        <v>1</v>
      </c>
      <c r="E21" s="19">
        <v>1</v>
      </c>
      <c r="F21" s="30">
        <f t="shared" si="0"/>
        <v>1</v>
      </c>
      <c r="G21" s="18">
        <v>1</v>
      </c>
      <c r="H21" s="19">
        <v>1</v>
      </c>
      <c r="I21" s="27">
        <f t="shared" si="7"/>
        <v>1</v>
      </c>
      <c r="J21" s="18">
        <v>1</v>
      </c>
      <c r="K21" s="19">
        <v>1</v>
      </c>
      <c r="L21" s="27">
        <f t="shared" si="1"/>
        <v>1</v>
      </c>
      <c r="M21" s="18">
        <v>1</v>
      </c>
      <c r="N21" s="19">
        <v>1</v>
      </c>
      <c r="O21" s="27">
        <f t="shared" si="2"/>
        <v>1</v>
      </c>
      <c r="P21" s="18">
        <v>4</v>
      </c>
      <c r="Q21" s="19">
        <v>4</v>
      </c>
      <c r="R21" s="27">
        <f t="shared" si="3"/>
        <v>7</v>
      </c>
      <c r="S21" s="18">
        <v>5</v>
      </c>
      <c r="T21" s="19">
        <v>5</v>
      </c>
      <c r="U21" s="27">
        <f t="shared" si="4"/>
        <v>9</v>
      </c>
      <c r="V21" s="18">
        <v>1</v>
      </c>
      <c r="W21" s="19">
        <v>1</v>
      </c>
      <c r="X21" s="27">
        <f t="shared" si="5"/>
        <v>1</v>
      </c>
      <c r="Y21" s="18">
        <v>1</v>
      </c>
      <c r="Z21" s="19">
        <v>4</v>
      </c>
      <c r="AA21" s="27">
        <f t="shared" si="6"/>
        <v>4</v>
      </c>
      <c r="AC21" s="4">
        <v>18</v>
      </c>
    </row>
    <row r="22" spans="2:29" ht="45" customHeight="1" thickBot="1" x14ac:dyDescent="0.35">
      <c r="B22" s="94" t="s">
        <v>34</v>
      </c>
      <c r="C22" s="95" t="s">
        <v>34</v>
      </c>
      <c r="D22" s="18">
        <v>1</v>
      </c>
      <c r="E22" s="19">
        <v>3</v>
      </c>
      <c r="F22" s="32">
        <f t="shared" si="0"/>
        <v>3</v>
      </c>
      <c r="G22" s="18">
        <v>1</v>
      </c>
      <c r="H22" s="19">
        <v>3</v>
      </c>
      <c r="I22" s="29">
        <f t="shared" si="7"/>
        <v>3</v>
      </c>
      <c r="J22" s="18">
        <v>1</v>
      </c>
      <c r="K22" s="19">
        <v>1</v>
      </c>
      <c r="L22" s="29">
        <f t="shared" si="1"/>
        <v>1</v>
      </c>
      <c r="M22" s="18">
        <v>2</v>
      </c>
      <c r="N22" s="19">
        <v>4</v>
      </c>
      <c r="O22" s="29">
        <f t="shared" si="2"/>
        <v>5</v>
      </c>
      <c r="P22" s="18">
        <v>5</v>
      </c>
      <c r="Q22" s="19">
        <v>5</v>
      </c>
      <c r="R22" s="29">
        <f t="shared" si="3"/>
        <v>9</v>
      </c>
      <c r="S22" s="18">
        <v>4</v>
      </c>
      <c r="T22" s="19">
        <v>4</v>
      </c>
      <c r="U22" s="29">
        <f t="shared" si="4"/>
        <v>7</v>
      </c>
      <c r="V22" s="18">
        <v>1</v>
      </c>
      <c r="W22" s="19">
        <v>1</v>
      </c>
      <c r="X22" s="29">
        <f t="shared" si="5"/>
        <v>1</v>
      </c>
      <c r="Y22" s="18">
        <v>4</v>
      </c>
      <c r="Z22" s="19">
        <v>4</v>
      </c>
      <c r="AA22" s="29">
        <f t="shared" si="6"/>
        <v>7</v>
      </c>
      <c r="AC22" s="4">
        <v>19</v>
      </c>
    </row>
    <row r="23" spans="2:29" ht="15.75" customHeight="1" x14ac:dyDescent="0.3">
      <c r="AC23" s="4">
        <v>20</v>
      </c>
    </row>
    <row r="24" spans="2:29" ht="15.75" thickBot="1" x14ac:dyDescent="0.35">
      <c r="AC24" s="4">
        <v>21</v>
      </c>
    </row>
    <row r="25" spans="2:29" ht="17.25" thickBot="1" x14ac:dyDescent="0.35">
      <c r="D25" s="11" t="s">
        <v>76</v>
      </c>
      <c r="E25" s="11" t="s">
        <v>77</v>
      </c>
      <c r="G25"/>
      <c r="H25" s="91" t="s">
        <v>78</v>
      </c>
      <c r="I25" s="92"/>
      <c r="J25" s="92"/>
      <c r="K25" s="92"/>
      <c r="L25" s="92"/>
      <c r="M25" s="93"/>
      <c r="AC25" s="4">
        <v>22</v>
      </c>
    </row>
    <row r="26" spans="2:29" ht="16.5" x14ac:dyDescent="0.3">
      <c r="B26" s="96" t="s">
        <v>79</v>
      </c>
      <c r="C26" s="97"/>
      <c r="D26" s="33">
        <f>E26*145</f>
        <v>0</v>
      </c>
      <c r="E26" s="10">
        <v>0</v>
      </c>
      <c r="F26" s="17">
        <f>E26*3</f>
        <v>0</v>
      </c>
      <c r="G26"/>
      <c r="H26" s="83" t="s">
        <v>80</v>
      </c>
      <c r="I26" s="84"/>
      <c r="J26" s="84"/>
      <c r="K26" s="84"/>
      <c r="L26" s="85"/>
      <c r="M26" s="14">
        <v>0</v>
      </c>
      <c r="AC26" s="4">
        <v>23</v>
      </c>
    </row>
    <row r="27" spans="2:29" ht="17.25" thickBot="1" x14ac:dyDescent="0.35">
      <c r="B27" s="81" t="s">
        <v>81</v>
      </c>
      <c r="C27" s="82"/>
      <c r="D27" s="34">
        <f>E27*109</f>
        <v>0</v>
      </c>
      <c r="E27" s="9">
        <v>0</v>
      </c>
      <c r="F27" s="17">
        <f>E27*3</f>
        <v>0</v>
      </c>
      <c r="G27"/>
      <c r="H27" s="75" t="s">
        <v>82</v>
      </c>
      <c r="I27" s="76"/>
      <c r="J27" s="76"/>
      <c r="K27" s="76"/>
      <c r="L27" s="77"/>
      <c r="M27" s="15">
        <v>396</v>
      </c>
      <c r="AC27" s="4">
        <v>24</v>
      </c>
    </row>
    <row r="28" spans="2:29" ht="17.25" thickBot="1" x14ac:dyDescent="0.35">
      <c r="B28" s="81" t="s">
        <v>83</v>
      </c>
      <c r="C28" s="82"/>
      <c r="D28" s="34">
        <f>E28*38</f>
        <v>0</v>
      </c>
      <c r="E28" s="9">
        <v>0</v>
      </c>
      <c r="F28" s="17">
        <f>E28*2</f>
        <v>0</v>
      </c>
      <c r="G28"/>
      <c r="H28"/>
      <c r="I28"/>
      <c r="J28"/>
      <c r="K28"/>
      <c r="L28"/>
      <c r="M28" s="39">
        <f>M26/M27*27</f>
        <v>0</v>
      </c>
      <c r="AC28" s="4">
        <v>25</v>
      </c>
    </row>
    <row r="29" spans="2:29" ht="17.25" thickBot="1" x14ac:dyDescent="0.35">
      <c r="B29" s="81" t="s">
        <v>84</v>
      </c>
      <c r="C29" s="82"/>
      <c r="D29" s="34">
        <f>E29*1.5</f>
        <v>1.5</v>
      </c>
      <c r="E29" s="9">
        <v>1</v>
      </c>
      <c r="F29" s="17">
        <f>E29*2</f>
        <v>2</v>
      </c>
      <c r="G29"/>
      <c r="H29"/>
      <c r="I29"/>
      <c r="J29"/>
      <c r="K29"/>
      <c r="L29"/>
      <c r="M29" s="40">
        <f>M26/M27</f>
        <v>0</v>
      </c>
      <c r="AC29" s="4">
        <v>26</v>
      </c>
    </row>
    <row r="30" spans="2:29" ht="17.25" thickBot="1" x14ac:dyDescent="0.35">
      <c r="B30" s="81" t="s">
        <v>85</v>
      </c>
      <c r="C30" s="82"/>
      <c r="D30" s="34">
        <f>E30*109</f>
        <v>0</v>
      </c>
      <c r="E30" s="9">
        <v>0</v>
      </c>
      <c r="F30" s="17">
        <f t="shared" ref="F30" si="8">E30*3</f>
        <v>0</v>
      </c>
      <c r="G30"/>
      <c r="H30"/>
      <c r="I30"/>
      <c r="J30"/>
      <c r="K30"/>
      <c r="L30"/>
      <c r="M30"/>
      <c r="AC30" s="4">
        <v>27</v>
      </c>
    </row>
    <row r="31" spans="2:29" ht="17.25" thickBot="1" x14ac:dyDescent="0.35">
      <c r="B31" s="81" t="s">
        <v>86</v>
      </c>
      <c r="C31" s="82"/>
      <c r="D31" s="34">
        <f>E31*0.75</f>
        <v>5.25</v>
      </c>
      <c r="E31" s="9">
        <v>7</v>
      </c>
      <c r="F31" s="17">
        <f>E31*1</f>
        <v>7</v>
      </c>
      <c r="G31"/>
      <c r="H31" s="91" t="s">
        <v>87</v>
      </c>
      <c r="I31" s="92"/>
      <c r="J31" s="92"/>
      <c r="K31" s="92"/>
      <c r="L31" s="92"/>
      <c r="M31" s="93"/>
      <c r="AC31" s="4">
        <v>28</v>
      </c>
    </row>
    <row r="32" spans="2:29" ht="16.5" x14ac:dyDescent="0.3">
      <c r="B32" s="81" t="s">
        <v>88</v>
      </c>
      <c r="C32" s="82"/>
      <c r="D32" s="34">
        <f>E32*0.5</f>
        <v>0</v>
      </c>
      <c r="E32" s="9">
        <v>0</v>
      </c>
      <c r="F32" s="17">
        <f>E32*1</f>
        <v>0</v>
      </c>
      <c r="G32"/>
      <c r="H32" s="83" t="s">
        <v>89</v>
      </c>
      <c r="I32" s="84"/>
      <c r="J32" s="84"/>
      <c r="K32" s="84"/>
      <c r="L32" s="85"/>
      <c r="M32" s="14">
        <v>48</v>
      </c>
      <c r="AC32" s="4">
        <v>29</v>
      </c>
    </row>
    <row r="33" spans="2:29" ht="16.5" x14ac:dyDescent="0.3">
      <c r="B33" s="81" t="s">
        <v>90</v>
      </c>
      <c r="C33" s="82"/>
      <c r="D33" s="34">
        <f>E33*2</f>
        <v>0</v>
      </c>
      <c r="E33" s="9">
        <v>0</v>
      </c>
      <c r="F33" s="17">
        <f>E33*1</f>
        <v>0</v>
      </c>
      <c r="G33"/>
      <c r="H33" s="86" t="s">
        <v>91</v>
      </c>
      <c r="I33" s="87"/>
      <c r="J33" s="87"/>
      <c r="K33" s="87"/>
      <c r="L33" s="88"/>
      <c r="M33" s="16">
        <v>69</v>
      </c>
      <c r="AC33" s="4">
        <v>30</v>
      </c>
    </row>
    <row r="34" spans="2:29" ht="17.25" thickBot="1" x14ac:dyDescent="0.35">
      <c r="B34" s="89" t="s">
        <v>92</v>
      </c>
      <c r="C34" s="90"/>
      <c r="D34" s="35">
        <f>E34*2</f>
        <v>0</v>
      </c>
      <c r="E34" s="12">
        <v>0</v>
      </c>
      <c r="F34" s="17">
        <f>E34*1</f>
        <v>0</v>
      </c>
      <c r="G34"/>
      <c r="H34" s="86" t="s">
        <v>93</v>
      </c>
      <c r="I34" s="87"/>
      <c r="J34" s="87"/>
      <c r="K34" s="87"/>
      <c r="L34" s="88"/>
      <c r="M34" s="16">
        <v>0</v>
      </c>
      <c r="AC34" s="4"/>
    </row>
    <row r="35" spans="2:29" ht="17.25" thickBot="1" x14ac:dyDescent="0.35">
      <c r="B35" s="73"/>
      <c r="C35" s="74"/>
      <c r="D35" s="42" t="s">
        <v>76</v>
      </c>
      <c r="E35" s="8" t="s">
        <v>77</v>
      </c>
      <c r="F35" s="8" t="s">
        <v>94</v>
      </c>
      <c r="G35"/>
      <c r="H35" s="75" t="s">
        <v>82</v>
      </c>
      <c r="I35" s="76"/>
      <c r="J35" s="76"/>
      <c r="K35" s="76"/>
      <c r="L35" s="77"/>
      <c r="M35" s="15">
        <v>8152</v>
      </c>
    </row>
    <row r="36" spans="2:29" ht="17.25" thickBot="1" x14ac:dyDescent="0.35">
      <c r="B36" s="57"/>
      <c r="C36" s="78"/>
      <c r="D36" s="36">
        <f>IF(AE5&lt;=1,1,IF(AE5&lt;=2,2,IF(AE5&lt;=3,3,IF(AE5&lt;=4,4,IF(AE5&gt;4,5)))))</f>
        <v>1</v>
      </c>
      <c r="E36" s="38">
        <f>IF(AE6&gt;11,5,IF(AE6&gt;=4,4,IF(AE6&gt;=1,3,IF(AE6&gt;0.3333,2,1))))</f>
        <v>4</v>
      </c>
      <c r="F36" s="37">
        <f>D36+E36-1</f>
        <v>4</v>
      </c>
      <c r="G36" s="79"/>
      <c r="H36" s="80"/>
      <c r="I36" s="80"/>
      <c r="J36" s="80"/>
      <c r="K36"/>
      <c r="L36"/>
      <c r="M36" s="39">
        <f>((AE3-(M33*0.3)+(M34*100))/M35)*27</f>
        <v>9.0419528949950936E-2</v>
      </c>
    </row>
    <row r="37" spans="2:29" ht="17.25" thickBot="1" x14ac:dyDescent="0.35">
      <c r="B37" s="57"/>
      <c r="C37" s="57"/>
      <c r="G37"/>
      <c r="H37"/>
      <c r="I37"/>
      <c r="J37"/>
      <c r="K37"/>
      <c r="L37"/>
      <c r="M37" s="41">
        <f>(M32+M33+M34)/M35</f>
        <v>1.4352306182531895E-2</v>
      </c>
    </row>
    <row r="38" spans="2:29" x14ac:dyDescent="0.3">
      <c r="B38" s="57"/>
      <c r="C38" s="57"/>
    </row>
    <row r="39" spans="2:29" x14ac:dyDescent="0.3">
      <c r="B39" s="57"/>
      <c r="C39" s="57"/>
    </row>
    <row r="40" spans="2:29" x14ac:dyDescent="0.3">
      <c r="B40" s="58"/>
      <c r="C40" s="58"/>
    </row>
  </sheetData>
  <mergeCells count="46">
    <mergeCell ref="B6:C6"/>
    <mergeCell ref="B1:AA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1:C31"/>
    <mergeCell ref="H31:M31"/>
    <mergeCell ref="B19:C19"/>
    <mergeCell ref="B20:C20"/>
    <mergeCell ref="B22:C22"/>
    <mergeCell ref="H25:M25"/>
    <mergeCell ref="B26:C26"/>
    <mergeCell ref="H26:L26"/>
    <mergeCell ref="B27:C27"/>
    <mergeCell ref="H27:L27"/>
    <mergeCell ref="B28:C28"/>
    <mergeCell ref="B29:C29"/>
    <mergeCell ref="B30:C30"/>
    <mergeCell ref="B21:C21"/>
    <mergeCell ref="B32:C32"/>
    <mergeCell ref="H32:L32"/>
    <mergeCell ref="B33:C33"/>
    <mergeCell ref="H33:L33"/>
    <mergeCell ref="B34:C34"/>
    <mergeCell ref="H34:L34"/>
    <mergeCell ref="B39:C39"/>
    <mergeCell ref="B40:C40"/>
    <mergeCell ref="B35:C35"/>
    <mergeCell ref="H35:L35"/>
    <mergeCell ref="B36:C36"/>
    <mergeCell ref="G36:J36"/>
    <mergeCell ref="B37:C37"/>
    <mergeCell ref="B38:C38"/>
  </mergeCells>
  <conditionalFormatting sqref="D3:AA22">
    <cfRule type="cellIs" priority="1" operator="lessThan">
      <formula>1</formula>
    </cfRule>
  </conditionalFormatting>
  <conditionalFormatting sqref="F3:F22">
    <cfRule type="cellIs" dxfId="32" priority="114" stopIfTrue="1" operator="greaterThan">
      <formula>5.4</formula>
    </cfRule>
    <cfRule type="cellIs" dxfId="31" priority="115" stopIfTrue="1" operator="between">
      <formula>0.6</formula>
      <formula>3.4</formula>
    </cfRule>
    <cfRule type="cellIs" dxfId="30" priority="116" stopIfTrue="1" operator="between">
      <formula>3.5</formula>
      <formula>5.4</formula>
    </cfRule>
  </conditionalFormatting>
  <conditionalFormatting sqref="F36">
    <cfRule type="cellIs" dxfId="29" priority="161" operator="between">
      <formula>3.5</formula>
      <formula>5.4</formula>
    </cfRule>
    <cfRule type="cellIs" dxfId="28" priority="162" operator="greaterThan">
      <formula>5.4</formula>
    </cfRule>
    <cfRule type="cellIs" dxfId="27" priority="163" operator="between">
      <formula>0.6</formula>
      <formula>3.4</formula>
    </cfRule>
    <cfRule type="cellIs" priority="164" operator="lessThan">
      <formula>1</formula>
    </cfRule>
  </conditionalFormatting>
  <conditionalFormatting sqref="I3:I22">
    <cfRule type="cellIs" dxfId="26" priority="98" stopIfTrue="1" operator="greaterThan">
      <formula>5.4</formula>
    </cfRule>
    <cfRule type="cellIs" dxfId="25" priority="99" stopIfTrue="1" operator="between">
      <formula>0.6</formula>
      <formula>3.4</formula>
    </cfRule>
    <cfRule type="cellIs" dxfId="24" priority="100" stopIfTrue="1" operator="between">
      <formula>3.5</formula>
      <formula>5.4</formula>
    </cfRule>
  </conditionalFormatting>
  <conditionalFormatting sqref="L3:L22">
    <cfRule type="cellIs" dxfId="23" priority="2" stopIfTrue="1" operator="greaterThan">
      <formula>5.4</formula>
    </cfRule>
    <cfRule type="cellIs" dxfId="22" priority="3" stopIfTrue="1" operator="between">
      <formula>0.6</formula>
      <formula>3.4</formula>
    </cfRule>
    <cfRule type="cellIs" dxfId="21" priority="4" stopIfTrue="1" operator="between">
      <formula>3.5</formula>
      <formula>5.4</formula>
    </cfRule>
  </conditionalFormatting>
  <conditionalFormatting sqref="O3:O22">
    <cfRule type="cellIs" dxfId="20" priority="82" stopIfTrue="1" operator="greaterThan">
      <formula>5.4</formula>
    </cfRule>
    <cfRule type="cellIs" dxfId="19" priority="83" stopIfTrue="1" operator="between">
      <formula>0.6</formula>
      <formula>3.4</formula>
    </cfRule>
    <cfRule type="cellIs" dxfId="18" priority="84" stopIfTrue="1" operator="between">
      <formula>3.5</formula>
      <formula>5.4</formula>
    </cfRule>
  </conditionalFormatting>
  <conditionalFormatting sqref="R3:R22">
    <cfRule type="cellIs" dxfId="17" priority="66" stopIfTrue="1" operator="greaterThan">
      <formula>5.4</formula>
    </cfRule>
    <cfRule type="cellIs" dxfId="16" priority="67" stopIfTrue="1" operator="between">
      <formula>0.6</formula>
      <formula>3.4</formula>
    </cfRule>
    <cfRule type="cellIs" dxfId="15" priority="68" stopIfTrue="1" operator="between">
      <formula>3.5</formula>
      <formula>5.4</formula>
    </cfRule>
  </conditionalFormatting>
  <conditionalFormatting sqref="U3:U22">
    <cfRule type="cellIs" dxfId="14" priority="50" stopIfTrue="1" operator="greaterThan">
      <formula>5.4</formula>
    </cfRule>
    <cfRule type="cellIs" dxfId="13" priority="51" stopIfTrue="1" operator="between">
      <formula>0.6</formula>
      <formula>3.4</formula>
    </cfRule>
    <cfRule type="cellIs" dxfId="12" priority="52" stopIfTrue="1" operator="between">
      <formula>3.5</formula>
      <formula>5.4</formula>
    </cfRule>
  </conditionalFormatting>
  <conditionalFormatting sqref="X3:X22">
    <cfRule type="cellIs" dxfId="11" priority="34" stopIfTrue="1" operator="greaterThan">
      <formula>5.4</formula>
    </cfRule>
    <cfRule type="cellIs" dxfId="10" priority="35" stopIfTrue="1" operator="between">
      <formula>0.6</formula>
      <formula>3.4</formula>
    </cfRule>
    <cfRule type="cellIs" dxfId="9" priority="36" stopIfTrue="1" operator="between">
      <formula>3.5</formula>
      <formula>5.4</formula>
    </cfRule>
  </conditionalFormatting>
  <conditionalFormatting sqref="AA3:AA22">
    <cfRule type="cellIs" dxfId="8" priority="18" stopIfTrue="1" operator="greaterThan">
      <formula>5.4</formula>
    </cfRule>
    <cfRule type="cellIs" dxfId="7" priority="19" stopIfTrue="1" operator="between">
      <formula>0.6</formula>
      <formula>3.4</formula>
    </cfRule>
    <cfRule type="cellIs" dxfId="6" priority="20" stopIfTrue="1" operator="between">
      <formula>3.5</formula>
      <formula>5.4</formula>
    </cfRule>
  </conditionalFormatting>
  <dataValidations count="1">
    <dataValidation type="list" allowBlank="1" showInputMessage="1" showErrorMessage="1" sqref="E26:E34" xr:uid="{01B40EEE-0E8A-4B93-8383-5A0B82C5BB73}">
      <formula1>$AC$3:$AC$34</formula1>
    </dataValidation>
  </dataValidations>
  <pageMargins left="0.7" right="0.7" top="0.75" bottom="0.75" header="0.3" footer="0.3"/>
  <ignoredErrors>
    <ignoredError sqref="D26:D36 I3:AA3 I22:X22 I19:J19 L19:X19 I17:AA17 I15:L15 N15:X15 I18:L18 N18:V18 I20:AA20 X21 F21 AA21 I12:AA13 I11:O11 Q11:AA11 I14:O14 Q14:R14 R21 I21 L21 O21 U14:AA14 U21 X18:AA18 I6:AA9 I5:Y5 AA5 I4:X4 AA4 I10:X10 Z10:AA10 Z15:AA15 I16:Y16 AA16 Z19:AA19 Z22:AA22" unlockedFormula="1"/>
  </ignoredErrors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8114B-CAE5-41EB-92CF-24EA3A5069D6}">
  <sheetPr>
    <tabColor theme="3" tint="0.39997558519241921"/>
  </sheetPr>
  <dimension ref="B1:Y40"/>
  <sheetViews>
    <sheetView showGridLines="0" zoomScale="80" zoomScaleNormal="80" workbookViewId="0">
      <pane ySplit="2" topLeftCell="A3" activePane="bottomLeft" state="frozen"/>
      <selection pane="bottomLeft" activeCell="AB6" sqref="AB6"/>
    </sheetView>
  </sheetViews>
  <sheetFormatPr defaultColWidth="11" defaultRowHeight="15" x14ac:dyDescent="0.3"/>
  <cols>
    <col min="1" max="1" width="3.375" style="2" customWidth="1"/>
    <col min="2" max="2" width="11.875" style="6" customWidth="1"/>
    <col min="3" max="3" width="22.875" style="7" customWidth="1"/>
    <col min="4" max="4" width="12.875" style="6" customWidth="1"/>
    <col min="5" max="5" width="12.875" style="5" customWidth="1"/>
    <col min="6" max="6" width="12.875" style="7" customWidth="1"/>
    <col min="7" max="7" width="12.875" style="6" customWidth="1"/>
    <col min="8" max="8" width="12.875" style="5" customWidth="1"/>
    <col min="9" max="9" width="12.875" style="7" customWidth="1"/>
    <col min="10" max="10" width="12.875" style="6" customWidth="1"/>
    <col min="11" max="11" width="12.875" style="5" customWidth="1"/>
    <col min="12" max="12" width="12.875" style="7" customWidth="1"/>
    <col min="13" max="13" width="12.875" style="6" customWidth="1"/>
    <col min="14" max="14" width="12.875" style="5" customWidth="1"/>
    <col min="15" max="15" width="12.875" style="7" customWidth="1"/>
    <col min="16" max="16" width="12.875" style="6" customWidth="1"/>
    <col min="17" max="17" width="12.875" style="5" customWidth="1"/>
    <col min="18" max="18" width="12.875" style="7" customWidth="1"/>
    <col min="19" max="19" width="3.375" style="2" customWidth="1"/>
    <col min="20" max="20" width="11.875" style="2" hidden="1" customWidth="1"/>
    <col min="21" max="21" width="3.375" style="2" hidden="1" customWidth="1"/>
    <col min="22" max="22" width="11.875" style="2" hidden="1" customWidth="1"/>
    <col min="23" max="23" width="0" style="2" hidden="1" customWidth="1"/>
    <col min="24" max="24" width="3.375" style="2" hidden="1" customWidth="1"/>
    <col min="25" max="25" width="0" style="2" hidden="1" customWidth="1"/>
    <col min="26" max="26" width="3.375" style="2" customWidth="1"/>
    <col min="27" max="16384" width="11" style="2"/>
  </cols>
  <sheetData>
    <row r="1" spans="2:25" s="1" customFormat="1" ht="58.5" customHeight="1" thickBot="1" x14ac:dyDescent="0.3">
      <c r="B1" s="103" t="s">
        <v>38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5"/>
    </row>
    <row r="2" spans="2:25" ht="50.1" customHeight="1" thickBot="1" x14ac:dyDescent="0.35">
      <c r="B2" s="101" t="s">
        <v>1</v>
      </c>
      <c r="C2" s="102"/>
      <c r="D2" s="23" t="s">
        <v>95</v>
      </c>
      <c r="E2" s="24" t="s">
        <v>96</v>
      </c>
      <c r="F2" s="25" t="s">
        <v>97</v>
      </c>
      <c r="G2" s="23" t="s">
        <v>2</v>
      </c>
      <c r="H2" s="24" t="s">
        <v>3</v>
      </c>
      <c r="I2" s="25" t="s">
        <v>4</v>
      </c>
      <c r="J2" s="24" t="s">
        <v>5</v>
      </c>
      <c r="K2" s="24" t="s">
        <v>6</v>
      </c>
      <c r="L2" s="24" t="s">
        <v>7</v>
      </c>
      <c r="M2" s="23" t="s">
        <v>8</v>
      </c>
      <c r="N2" s="24" t="s">
        <v>9</v>
      </c>
      <c r="O2" s="25" t="s">
        <v>10</v>
      </c>
      <c r="P2" s="23" t="s">
        <v>14</v>
      </c>
      <c r="Q2" s="24" t="s">
        <v>15</v>
      </c>
      <c r="R2" s="25" t="s">
        <v>16</v>
      </c>
      <c r="T2" s="13" t="s">
        <v>63</v>
      </c>
      <c r="U2" s="3"/>
      <c r="V2" s="3"/>
      <c r="W2" s="3"/>
      <c r="X2" s="3"/>
      <c r="Y2" s="3"/>
    </row>
    <row r="3" spans="2:25" ht="45" customHeight="1" thickBot="1" x14ac:dyDescent="0.35">
      <c r="B3" s="94" t="s">
        <v>64</v>
      </c>
      <c r="C3" s="95"/>
      <c r="D3" s="26">
        <v>1</v>
      </c>
      <c r="E3" s="20">
        <v>1</v>
      </c>
      <c r="F3" s="30">
        <f>D3+E3-1</f>
        <v>1</v>
      </c>
      <c r="G3" s="26">
        <v>1</v>
      </c>
      <c r="H3" s="20">
        <v>1</v>
      </c>
      <c r="I3" s="30">
        <f t="shared" ref="I3:I22" si="0">G3+H3-1</f>
        <v>1</v>
      </c>
      <c r="J3" s="26">
        <v>1</v>
      </c>
      <c r="K3" s="20">
        <v>1</v>
      </c>
      <c r="L3" s="30">
        <f t="shared" ref="L3:L22" si="1">J3+K3-1</f>
        <v>1</v>
      </c>
      <c r="M3" s="26">
        <v>1</v>
      </c>
      <c r="N3" s="20">
        <v>1</v>
      </c>
      <c r="O3" s="30">
        <f t="shared" ref="O3:O22" si="2">M3+N3-1</f>
        <v>1</v>
      </c>
      <c r="P3" s="26">
        <v>1</v>
      </c>
      <c r="Q3" s="20">
        <v>4</v>
      </c>
      <c r="R3" s="30">
        <f t="shared" ref="R3:R22" si="3">P3+Q3-1</f>
        <v>4</v>
      </c>
      <c r="T3" s="4">
        <v>0</v>
      </c>
      <c r="U3" s="5"/>
      <c r="V3">
        <f>IF((AND(G36&gt;4.99,M39&lt;0.021)),M32*36,M32)</f>
        <v>287</v>
      </c>
    </row>
    <row r="4" spans="2:25" ht="45" customHeight="1" thickBot="1" x14ac:dyDescent="0.35">
      <c r="B4" s="94" t="s">
        <v>65</v>
      </c>
      <c r="C4" s="95" t="s">
        <v>33</v>
      </c>
      <c r="D4" s="21">
        <v>1</v>
      </c>
      <c r="E4" s="22">
        <v>4</v>
      </c>
      <c r="F4" s="31">
        <f t="shared" ref="F4:F22" si="4">D4+E4-1</f>
        <v>4</v>
      </c>
      <c r="G4" s="21">
        <v>1</v>
      </c>
      <c r="H4" s="22">
        <v>5</v>
      </c>
      <c r="I4" s="31">
        <f t="shared" si="0"/>
        <v>5</v>
      </c>
      <c r="J4" s="21">
        <v>1</v>
      </c>
      <c r="K4" s="22">
        <v>4</v>
      </c>
      <c r="L4" s="31">
        <f t="shared" si="1"/>
        <v>4</v>
      </c>
      <c r="M4" s="21">
        <v>1</v>
      </c>
      <c r="N4" s="22">
        <v>4</v>
      </c>
      <c r="O4" s="31">
        <f t="shared" si="2"/>
        <v>4</v>
      </c>
      <c r="P4" s="21">
        <v>5</v>
      </c>
      <c r="Q4" s="22">
        <v>5</v>
      </c>
      <c r="R4" s="31">
        <f t="shared" si="3"/>
        <v>9</v>
      </c>
      <c r="T4" s="4">
        <v>1</v>
      </c>
      <c r="U4" s="5"/>
      <c r="V4">
        <f>((V3-(M33*0.3)+(M34*100))/M35)*27</f>
        <v>0.26971619123563739</v>
      </c>
    </row>
    <row r="5" spans="2:25" ht="45" customHeight="1" thickBot="1" x14ac:dyDescent="0.35">
      <c r="B5" s="94" t="s">
        <v>66</v>
      </c>
      <c r="C5" s="95"/>
      <c r="D5" s="26">
        <v>1</v>
      </c>
      <c r="E5" s="20">
        <v>3</v>
      </c>
      <c r="F5" s="30">
        <f t="shared" si="4"/>
        <v>3</v>
      </c>
      <c r="G5" s="26">
        <v>1</v>
      </c>
      <c r="H5" s="20">
        <v>4</v>
      </c>
      <c r="I5" s="30">
        <f t="shared" si="0"/>
        <v>4</v>
      </c>
      <c r="J5" s="26">
        <v>1</v>
      </c>
      <c r="K5" s="20">
        <v>4</v>
      </c>
      <c r="L5" s="30">
        <f t="shared" si="1"/>
        <v>4</v>
      </c>
      <c r="M5" s="26">
        <v>1</v>
      </c>
      <c r="N5" s="20">
        <v>3</v>
      </c>
      <c r="O5" s="30">
        <f t="shared" si="2"/>
        <v>3</v>
      </c>
      <c r="P5" s="26">
        <v>1</v>
      </c>
      <c r="Q5" s="20">
        <v>4</v>
      </c>
      <c r="R5" s="30">
        <f t="shared" si="3"/>
        <v>4</v>
      </c>
      <c r="T5" s="4">
        <v>2</v>
      </c>
      <c r="U5" s="5"/>
      <c r="V5">
        <f>AVERAGE(D26:D34)/4</f>
        <v>4.208333333333333</v>
      </c>
    </row>
    <row r="6" spans="2:25" ht="45" customHeight="1" thickBot="1" x14ac:dyDescent="0.35">
      <c r="B6" s="94" t="s">
        <v>67</v>
      </c>
      <c r="C6" s="95"/>
      <c r="D6" s="21">
        <v>1</v>
      </c>
      <c r="E6" s="22">
        <v>1</v>
      </c>
      <c r="F6" s="31">
        <f t="shared" si="4"/>
        <v>1</v>
      </c>
      <c r="G6" s="21">
        <v>1</v>
      </c>
      <c r="H6" s="22">
        <v>3</v>
      </c>
      <c r="I6" s="31">
        <f t="shared" si="0"/>
        <v>3</v>
      </c>
      <c r="J6" s="21">
        <v>1</v>
      </c>
      <c r="K6" s="22">
        <v>1</v>
      </c>
      <c r="L6" s="31">
        <f t="shared" si="1"/>
        <v>1</v>
      </c>
      <c r="M6" s="21">
        <v>1</v>
      </c>
      <c r="N6" s="22">
        <v>3</v>
      </c>
      <c r="O6" s="31">
        <f t="shared" si="2"/>
        <v>3</v>
      </c>
      <c r="P6" s="21">
        <v>1</v>
      </c>
      <c r="Q6" s="22">
        <v>4</v>
      </c>
      <c r="R6" s="31">
        <f t="shared" si="3"/>
        <v>4</v>
      </c>
      <c r="T6" s="4">
        <v>3</v>
      </c>
      <c r="U6" s="5"/>
      <c r="V6">
        <f>SUM(F26:F34)</f>
        <v>11</v>
      </c>
    </row>
    <row r="7" spans="2:25" ht="45" customHeight="1" thickBot="1" x14ac:dyDescent="0.35">
      <c r="B7" s="94" t="s">
        <v>68</v>
      </c>
      <c r="C7" s="95"/>
      <c r="D7" s="26">
        <v>1</v>
      </c>
      <c r="E7" s="20">
        <v>3</v>
      </c>
      <c r="F7" s="30">
        <f t="shared" si="4"/>
        <v>3</v>
      </c>
      <c r="G7" s="26">
        <v>1</v>
      </c>
      <c r="H7" s="20">
        <v>3</v>
      </c>
      <c r="I7" s="30">
        <f t="shared" si="0"/>
        <v>3</v>
      </c>
      <c r="J7" s="26">
        <v>1</v>
      </c>
      <c r="K7" s="20">
        <v>4</v>
      </c>
      <c r="L7" s="30">
        <f t="shared" si="1"/>
        <v>4</v>
      </c>
      <c r="M7" s="26">
        <v>1</v>
      </c>
      <c r="N7" s="20">
        <v>3</v>
      </c>
      <c r="O7" s="30">
        <f t="shared" si="2"/>
        <v>3</v>
      </c>
      <c r="P7" s="26">
        <v>1</v>
      </c>
      <c r="Q7" s="20">
        <v>3</v>
      </c>
      <c r="R7" s="30">
        <f t="shared" si="3"/>
        <v>3</v>
      </c>
      <c r="T7" s="4">
        <v>4</v>
      </c>
      <c r="U7" s="5"/>
    </row>
    <row r="8" spans="2:25" ht="45" customHeight="1" thickBot="1" x14ac:dyDescent="0.35">
      <c r="B8" s="94" t="s">
        <v>37</v>
      </c>
      <c r="C8" s="95"/>
      <c r="D8" s="21">
        <v>2</v>
      </c>
      <c r="E8" s="22">
        <v>4</v>
      </c>
      <c r="F8" s="31">
        <f t="shared" si="4"/>
        <v>5</v>
      </c>
      <c r="G8" s="21">
        <v>1</v>
      </c>
      <c r="H8" s="22">
        <v>3</v>
      </c>
      <c r="I8" s="31">
        <f t="shared" si="0"/>
        <v>3</v>
      </c>
      <c r="J8" s="21">
        <v>2</v>
      </c>
      <c r="K8" s="22">
        <v>4</v>
      </c>
      <c r="L8" s="31">
        <f t="shared" si="1"/>
        <v>5</v>
      </c>
      <c r="M8" s="21">
        <v>2</v>
      </c>
      <c r="N8" s="22">
        <v>4</v>
      </c>
      <c r="O8" s="31">
        <f t="shared" si="2"/>
        <v>5</v>
      </c>
      <c r="P8" s="21">
        <v>3</v>
      </c>
      <c r="Q8" s="22">
        <v>5</v>
      </c>
      <c r="R8" s="31">
        <f t="shared" si="3"/>
        <v>7</v>
      </c>
      <c r="T8" s="4">
        <v>5</v>
      </c>
    </row>
    <row r="9" spans="2:25" ht="45" customHeight="1" thickBot="1" x14ac:dyDescent="0.35">
      <c r="B9" s="94" t="s">
        <v>69</v>
      </c>
      <c r="C9" s="95"/>
      <c r="D9" s="26">
        <v>1</v>
      </c>
      <c r="E9" s="20">
        <v>3</v>
      </c>
      <c r="F9" s="30">
        <f t="shared" si="4"/>
        <v>3</v>
      </c>
      <c r="G9" s="26">
        <v>1</v>
      </c>
      <c r="H9" s="20">
        <v>4</v>
      </c>
      <c r="I9" s="30">
        <f t="shared" si="0"/>
        <v>4</v>
      </c>
      <c r="J9" s="26">
        <v>4</v>
      </c>
      <c r="K9" s="20">
        <v>4</v>
      </c>
      <c r="L9" s="30">
        <f t="shared" si="1"/>
        <v>7</v>
      </c>
      <c r="M9" s="26">
        <v>3</v>
      </c>
      <c r="N9" s="20">
        <v>5</v>
      </c>
      <c r="O9" s="30">
        <f t="shared" si="2"/>
        <v>7</v>
      </c>
      <c r="P9" s="26">
        <v>1</v>
      </c>
      <c r="Q9" s="20">
        <v>4</v>
      </c>
      <c r="R9" s="30">
        <f t="shared" si="3"/>
        <v>4</v>
      </c>
      <c r="T9" s="4">
        <v>6</v>
      </c>
    </row>
    <row r="10" spans="2:25" ht="45" customHeight="1" thickBot="1" x14ac:dyDescent="0.35">
      <c r="B10" s="94" t="s">
        <v>23</v>
      </c>
      <c r="C10" s="95"/>
      <c r="D10" s="26">
        <v>5</v>
      </c>
      <c r="E10" s="20">
        <v>4</v>
      </c>
      <c r="F10" s="30">
        <f t="shared" si="4"/>
        <v>8</v>
      </c>
      <c r="G10" s="26">
        <v>1</v>
      </c>
      <c r="H10" s="20">
        <v>5</v>
      </c>
      <c r="I10" s="30">
        <f t="shared" si="0"/>
        <v>5</v>
      </c>
      <c r="J10" s="26">
        <v>2</v>
      </c>
      <c r="K10" s="20">
        <v>4</v>
      </c>
      <c r="L10" s="30">
        <f t="shared" si="1"/>
        <v>5</v>
      </c>
      <c r="M10" s="26">
        <v>4</v>
      </c>
      <c r="N10" s="20">
        <v>4</v>
      </c>
      <c r="O10" s="30">
        <f t="shared" si="2"/>
        <v>7</v>
      </c>
      <c r="P10" s="26">
        <v>5</v>
      </c>
      <c r="Q10" s="20">
        <v>5</v>
      </c>
      <c r="R10" s="30">
        <f t="shared" si="3"/>
        <v>9</v>
      </c>
      <c r="T10" s="4">
        <v>7</v>
      </c>
    </row>
    <row r="11" spans="2:25" ht="45" customHeight="1" thickBot="1" x14ac:dyDescent="0.35">
      <c r="B11" s="94" t="s">
        <v>36</v>
      </c>
      <c r="C11" s="95"/>
      <c r="D11" s="21">
        <v>1</v>
      </c>
      <c r="E11" s="22">
        <v>3</v>
      </c>
      <c r="F11" s="31">
        <f t="shared" si="4"/>
        <v>3</v>
      </c>
      <c r="G11" s="21">
        <v>1</v>
      </c>
      <c r="H11" s="22">
        <v>4</v>
      </c>
      <c r="I11" s="31">
        <f t="shared" si="0"/>
        <v>4</v>
      </c>
      <c r="J11" s="21">
        <v>1</v>
      </c>
      <c r="K11" s="22">
        <v>3</v>
      </c>
      <c r="L11" s="31">
        <f t="shared" si="1"/>
        <v>3</v>
      </c>
      <c r="M11" s="21">
        <v>1</v>
      </c>
      <c r="N11" s="22">
        <v>3</v>
      </c>
      <c r="O11" s="31">
        <f t="shared" si="2"/>
        <v>3</v>
      </c>
      <c r="P11" s="21">
        <v>4</v>
      </c>
      <c r="Q11" s="22">
        <v>4</v>
      </c>
      <c r="R11" s="31">
        <f t="shared" si="3"/>
        <v>7</v>
      </c>
      <c r="T11" s="4">
        <v>8</v>
      </c>
    </row>
    <row r="12" spans="2:25" ht="45" customHeight="1" thickBot="1" x14ac:dyDescent="0.35">
      <c r="B12" s="94" t="s">
        <v>70</v>
      </c>
      <c r="C12" s="95"/>
      <c r="D12" s="26">
        <v>1</v>
      </c>
      <c r="E12" s="20">
        <v>1</v>
      </c>
      <c r="F12" s="30">
        <f t="shared" si="4"/>
        <v>1</v>
      </c>
      <c r="G12" s="26">
        <v>1</v>
      </c>
      <c r="H12" s="20">
        <v>3</v>
      </c>
      <c r="I12" s="30">
        <f t="shared" si="0"/>
        <v>3</v>
      </c>
      <c r="J12" s="26">
        <v>1</v>
      </c>
      <c r="K12" s="20">
        <v>3</v>
      </c>
      <c r="L12" s="30">
        <f t="shared" si="1"/>
        <v>3</v>
      </c>
      <c r="M12" s="26">
        <v>1</v>
      </c>
      <c r="N12" s="20">
        <v>3</v>
      </c>
      <c r="O12" s="30">
        <f t="shared" si="2"/>
        <v>3</v>
      </c>
      <c r="P12" s="26">
        <v>2</v>
      </c>
      <c r="Q12" s="20">
        <v>4</v>
      </c>
      <c r="R12" s="30">
        <f t="shared" si="3"/>
        <v>5</v>
      </c>
      <c r="T12" s="4">
        <v>9</v>
      </c>
    </row>
    <row r="13" spans="2:25" ht="45" customHeight="1" thickBot="1" x14ac:dyDescent="0.35">
      <c r="B13" s="94" t="s">
        <v>24</v>
      </c>
      <c r="C13" s="95"/>
      <c r="D13" s="21">
        <v>1</v>
      </c>
      <c r="E13" s="22">
        <v>3</v>
      </c>
      <c r="F13" s="31">
        <f t="shared" si="4"/>
        <v>3</v>
      </c>
      <c r="G13" s="21">
        <v>2</v>
      </c>
      <c r="H13" s="22">
        <v>4</v>
      </c>
      <c r="I13" s="31">
        <f t="shared" si="0"/>
        <v>5</v>
      </c>
      <c r="J13" s="21">
        <v>1</v>
      </c>
      <c r="K13" s="22">
        <v>3</v>
      </c>
      <c r="L13" s="31">
        <f t="shared" si="1"/>
        <v>3</v>
      </c>
      <c r="M13" s="21">
        <v>1</v>
      </c>
      <c r="N13" s="22">
        <v>4</v>
      </c>
      <c r="O13" s="31">
        <f t="shared" si="2"/>
        <v>4</v>
      </c>
      <c r="P13" s="21">
        <v>1</v>
      </c>
      <c r="Q13" s="22">
        <v>5</v>
      </c>
      <c r="R13" s="31">
        <f t="shared" si="3"/>
        <v>5</v>
      </c>
      <c r="T13" s="4">
        <v>10</v>
      </c>
    </row>
    <row r="14" spans="2:25" ht="45" customHeight="1" thickBot="1" x14ac:dyDescent="0.35">
      <c r="B14" s="94" t="s">
        <v>71</v>
      </c>
      <c r="C14" s="95"/>
      <c r="D14" s="26">
        <v>1</v>
      </c>
      <c r="E14" s="20">
        <v>3</v>
      </c>
      <c r="F14" s="30">
        <f t="shared" si="4"/>
        <v>3</v>
      </c>
      <c r="G14" s="26">
        <v>1</v>
      </c>
      <c r="H14" s="20">
        <v>4</v>
      </c>
      <c r="I14" s="30">
        <f t="shared" si="0"/>
        <v>4</v>
      </c>
      <c r="J14" s="26">
        <v>1</v>
      </c>
      <c r="K14" s="20">
        <v>4</v>
      </c>
      <c r="L14" s="30">
        <f t="shared" si="1"/>
        <v>4</v>
      </c>
      <c r="M14" s="26">
        <v>2</v>
      </c>
      <c r="N14" s="20">
        <v>5</v>
      </c>
      <c r="O14" s="30">
        <f t="shared" si="2"/>
        <v>6</v>
      </c>
      <c r="P14" s="26">
        <v>2</v>
      </c>
      <c r="Q14" s="20">
        <v>4</v>
      </c>
      <c r="R14" s="30">
        <f t="shared" si="3"/>
        <v>5</v>
      </c>
      <c r="T14" s="4">
        <v>11</v>
      </c>
    </row>
    <row r="15" spans="2:25" ht="45" customHeight="1" thickBot="1" x14ac:dyDescent="0.35">
      <c r="B15" s="94" t="s">
        <v>72</v>
      </c>
      <c r="C15" s="95" t="s">
        <v>21</v>
      </c>
      <c r="D15" s="21">
        <v>5</v>
      </c>
      <c r="E15" s="22">
        <v>5</v>
      </c>
      <c r="F15" s="31">
        <f t="shared" si="4"/>
        <v>9</v>
      </c>
      <c r="G15" s="21">
        <v>5</v>
      </c>
      <c r="H15" s="22">
        <v>5</v>
      </c>
      <c r="I15" s="31">
        <f t="shared" si="0"/>
        <v>9</v>
      </c>
      <c r="J15" s="21">
        <v>5</v>
      </c>
      <c r="K15" s="22">
        <v>5</v>
      </c>
      <c r="L15" s="31">
        <f t="shared" si="1"/>
        <v>9</v>
      </c>
      <c r="M15" s="21">
        <v>3</v>
      </c>
      <c r="N15" s="22">
        <v>5</v>
      </c>
      <c r="O15" s="31">
        <f t="shared" si="2"/>
        <v>7</v>
      </c>
      <c r="P15" s="21">
        <v>5</v>
      </c>
      <c r="Q15" s="22">
        <v>5</v>
      </c>
      <c r="R15" s="31">
        <f t="shared" si="3"/>
        <v>9</v>
      </c>
      <c r="T15" s="4">
        <v>12</v>
      </c>
    </row>
    <row r="16" spans="2:25" ht="45" customHeight="1" thickBot="1" x14ac:dyDescent="0.35">
      <c r="B16" s="94" t="s">
        <v>35</v>
      </c>
      <c r="C16" s="95"/>
      <c r="D16" s="26">
        <v>1</v>
      </c>
      <c r="E16" s="20">
        <v>3</v>
      </c>
      <c r="F16" s="30">
        <f t="shared" si="4"/>
        <v>3</v>
      </c>
      <c r="G16" s="26">
        <v>1</v>
      </c>
      <c r="H16" s="20">
        <v>4</v>
      </c>
      <c r="I16" s="30">
        <f t="shared" si="0"/>
        <v>4</v>
      </c>
      <c r="J16" s="26">
        <v>5</v>
      </c>
      <c r="K16" s="20">
        <v>3</v>
      </c>
      <c r="L16" s="30">
        <f t="shared" si="1"/>
        <v>7</v>
      </c>
      <c r="M16" s="26">
        <v>1</v>
      </c>
      <c r="N16" s="20">
        <v>1</v>
      </c>
      <c r="O16" s="30">
        <f t="shared" si="2"/>
        <v>1</v>
      </c>
      <c r="P16" s="26">
        <v>1</v>
      </c>
      <c r="Q16" s="20">
        <v>5</v>
      </c>
      <c r="R16" s="30">
        <f t="shared" si="3"/>
        <v>5</v>
      </c>
      <c r="T16" s="4">
        <v>13</v>
      </c>
    </row>
    <row r="17" spans="2:20" ht="45" customHeight="1" thickBot="1" x14ac:dyDescent="0.35">
      <c r="B17" s="94" t="s">
        <v>73</v>
      </c>
      <c r="C17" s="95"/>
      <c r="D17" s="26">
        <v>1</v>
      </c>
      <c r="E17" s="20">
        <v>3</v>
      </c>
      <c r="F17" s="30">
        <f t="shared" ref="F17:F19" si="5">D17+E17-1</f>
        <v>3</v>
      </c>
      <c r="G17" s="26">
        <v>1</v>
      </c>
      <c r="H17" s="20">
        <v>3</v>
      </c>
      <c r="I17" s="30">
        <f t="shared" ref="I17:I19" si="6">G17+H17-1</f>
        <v>3</v>
      </c>
      <c r="J17" s="26">
        <v>1</v>
      </c>
      <c r="K17" s="20">
        <v>3</v>
      </c>
      <c r="L17" s="30">
        <f t="shared" ref="L17:L19" si="7">J17+K17-1</f>
        <v>3</v>
      </c>
      <c r="M17" s="26">
        <v>1</v>
      </c>
      <c r="N17" s="20">
        <v>4</v>
      </c>
      <c r="O17" s="30">
        <f t="shared" si="2"/>
        <v>4</v>
      </c>
      <c r="P17" s="26">
        <v>1</v>
      </c>
      <c r="Q17" s="20">
        <v>1</v>
      </c>
      <c r="R17" s="30">
        <f t="shared" ref="R17:R19" si="8">P17+Q17-1</f>
        <v>1</v>
      </c>
      <c r="T17" s="4">
        <v>14</v>
      </c>
    </row>
    <row r="18" spans="2:20" ht="45" customHeight="1" thickBot="1" x14ac:dyDescent="0.35">
      <c r="B18" s="94" t="s">
        <v>20</v>
      </c>
      <c r="C18" s="95"/>
      <c r="D18" s="26">
        <v>1</v>
      </c>
      <c r="E18" s="20">
        <v>4</v>
      </c>
      <c r="F18" s="30">
        <f t="shared" si="5"/>
        <v>4</v>
      </c>
      <c r="G18" s="26">
        <v>1</v>
      </c>
      <c r="H18" s="20">
        <v>4</v>
      </c>
      <c r="I18" s="30">
        <f t="shared" si="6"/>
        <v>4</v>
      </c>
      <c r="J18" s="26">
        <v>2</v>
      </c>
      <c r="K18" s="20">
        <v>4</v>
      </c>
      <c r="L18" s="30">
        <f t="shared" si="7"/>
        <v>5</v>
      </c>
      <c r="M18" s="26">
        <v>1</v>
      </c>
      <c r="N18" s="20">
        <v>3</v>
      </c>
      <c r="O18" s="30">
        <f t="shared" si="2"/>
        <v>3</v>
      </c>
      <c r="P18" s="26">
        <v>4</v>
      </c>
      <c r="Q18" s="20">
        <v>5</v>
      </c>
      <c r="R18" s="30">
        <f t="shared" si="8"/>
        <v>8</v>
      </c>
      <c r="T18" s="4">
        <v>15</v>
      </c>
    </row>
    <row r="19" spans="2:20" ht="45" customHeight="1" thickBot="1" x14ac:dyDescent="0.35">
      <c r="B19" s="94" t="s">
        <v>74</v>
      </c>
      <c r="C19" s="95" t="s">
        <v>27</v>
      </c>
      <c r="D19" s="26">
        <v>1</v>
      </c>
      <c r="E19" s="20">
        <v>4</v>
      </c>
      <c r="F19" s="30">
        <f t="shared" si="5"/>
        <v>4</v>
      </c>
      <c r="G19" s="26">
        <v>1</v>
      </c>
      <c r="H19" s="20">
        <v>5</v>
      </c>
      <c r="I19" s="30">
        <f t="shared" si="6"/>
        <v>5</v>
      </c>
      <c r="J19" s="26">
        <v>5</v>
      </c>
      <c r="K19" s="20">
        <v>5</v>
      </c>
      <c r="L19" s="30">
        <f t="shared" si="7"/>
        <v>9</v>
      </c>
      <c r="M19" s="26">
        <v>3</v>
      </c>
      <c r="N19" s="20">
        <v>5</v>
      </c>
      <c r="O19" s="30">
        <f t="shared" si="2"/>
        <v>7</v>
      </c>
      <c r="P19" s="26">
        <v>2</v>
      </c>
      <c r="Q19" s="20">
        <v>5</v>
      </c>
      <c r="R19" s="30">
        <f t="shared" si="8"/>
        <v>6</v>
      </c>
      <c r="T19" s="4">
        <v>16</v>
      </c>
    </row>
    <row r="20" spans="2:20" ht="45" customHeight="1" thickBot="1" x14ac:dyDescent="0.35">
      <c r="B20" s="94" t="s">
        <v>75</v>
      </c>
      <c r="C20" s="95" t="s">
        <v>27</v>
      </c>
      <c r="D20" s="26">
        <v>1</v>
      </c>
      <c r="E20" s="20">
        <v>1</v>
      </c>
      <c r="F20" s="30">
        <f t="shared" si="4"/>
        <v>1</v>
      </c>
      <c r="G20" s="26">
        <v>1</v>
      </c>
      <c r="H20" s="20">
        <v>1</v>
      </c>
      <c r="I20" s="30">
        <f t="shared" si="0"/>
        <v>1</v>
      </c>
      <c r="J20" s="26">
        <v>1</v>
      </c>
      <c r="K20" s="20">
        <v>1</v>
      </c>
      <c r="L20" s="30">
        <f t="shared" si="1"/>
        <v>1</v>
      </c>
      <c r="M20" s="26">
        <v>1</v>
      </c>
      <c r="N20" s="20">
        <v>1</v>
      </c>
      <c r="O20" s="30">
        <f t="shared" si="2"/>
        <v>1</v>
      </c>
      <c r="P20" s="26">
        <v>4</v>
      </c>
      <c r="Q20" s="20">
        <v>4</v>
      </c>
      <c r="R20" s="30">
        <f>P20+Q20-1</f>
        <v>7</v>
      </c>
      <c r="T20" s="4">
        <v>17</v>
      </c>
    </row>
    <row r="21" spans="2:20" ht="45" customHeight="1" thickBot="1" x14ac:dyDescent="0.35">
      <c r="B21" s="94" t="s">
        <v>31</v>
      </c>
      <c r="C21" s="95"/>
      <c r="D21" s="18">
        <v>1</v>
      </c>
      <c r="E21" s="19">
        <v>1</v>
      </c>
      <c r="F21" s="30">
        <f t="shared" si="4"/>
        <v>1</v>
      </c>
      <c r="G21" s="18">
        <v>5</v>
      </c>
      <c r="H21" s="19">
        <v>5</v>
      </c>
      <c r="I21" s="30">
        <f t="shared" si="0"/>
        <v>9</v>
      </c>
      <c r="J21" s="18">
        <v>4</v>
      </c>
      <c r="K21" s="19">
        <v>4</v>
      </c>
      <c r="L21" s="30">
        <f t="shared" si="1"/>
        <v>7</v>
      </c>
      <c r="M21" s="18">
        <v>1</v>
      </c>
      <c r="N21" s="19">
        <v>3</v>
      </c>
      <c r="O21" s="30">
        <f t="shared" si="2"/>
        <v>3</v>
      </c>
      <c r="P21" s="18">
        <v>1</v>
      </c>
      <c r="Q21" s="19">
        <v>4</v>
      </c>
      <c r="R21" s="30">
        <f>P21+Q21-1</f>
        <v>4</v>
      </c>
      <c r="T21" s="4">
        <v>18</v>
      </c>
    </row>
    <row r="22" spans="2:20" ht="45" customHeight="1" thickBot="1" x14ac:dyDescent="0.35">
      <c r="B22" s="94" t="s">
        <v>34</v>
      </c>
      <c r="C22" s="95" t="s">
        <v>34</v>
      </c>
      <c r="D22" s="18">
        <v>2</v>
      </c>
      <c r="E22" s="19">
        <v>4</v>
      </c>
      <c r="F22" s="32">
        <f t="shared" si="4"/>
        <v>5</v>
      </c>
      <c r="G22" s="18">
        <v>3</v>
      </c>
      <c r="H22" s="19">
        <v>4</v>
      </c>
      <c r="I22" s="32">
        <f t="shared" si="0"/>
        <v>6</v>
      </c>
      <c r="J22" s="18">
        <v>5</v>
      </c>
      <c r="K22" s="19">
        <v>4</v>
      </c>
      <c r="L22" s="32">
        <f t="shared" si="1"/>
        <v>8</v>
      </c>
      <c r="M22" s="18">
        <v>4</v>
      </c>
      <c r="N22" s="19">
        <v>4</v>
      </c>
      <c r="O22" s="32">
        <f t="shared" si="2"/>
        <v>7</v>
      </c>
      <c r="P22" s="18">
        <v>4</v>
      </c>
      <c r="Q22" s="19">
        <v>5</v>
      </c>
      <c r="R22" s="32">
        <f t="shared" si="3"/>
        <v>8</v>
      </c>
      <c r="T22" s="4">
        <v>19</v>
      </c>
    </row>
    <row r="23" spans="2:20" ht="15.75" customHeight="1" x14ac:dyDescent="0.3">
      <c r="T23" s="4">
        <v>20</v>
      </c>
    </row>
    <row r="24" spans="2:20" ht="15.75" thickBot="1" x14ac:dyDescent="0.35">
      <c r="T24" s="4">
        <v>21</v>
      </c>
    </row>
    <row r="25" spans="2:20" ht="17.25" thickBot="1" x14ac:dyDescent="0.35">
      <c r="D25" s="11" t="s">
        <v>76</v>
      </c>
      <c r="E25" s="11" t="s">
        <v>77</v>
      </c>
      <c r="G25"/>
      <c r="H25" s="91" t="s">
        <v>78</v>
      </c>
      <c r="I25" s="92"/>
      <c r="J25" s="92"/>
      <c r="K25" s="92"/>
      <c r="L25" s="92"/>
      <c r="M25" s="93"/>
      <c r="T25" s="4">
        <v>22</v>
      </c>
    </row>
    <row r="26" spans="2:20" ht="16.5" x14ac:dyDescent="0.3">
      <c r="B26" s="96" t="s">
        <v>79</v>
      </c>
      <c r="C26" s="97"/>
      <c r="D26" s="10">
        <f>E26*145</f>
        <v>0</v>
      </c>
      <c r="E26" s="10">
        <v>0</v>
      </c>
      <c r="F26" s="17">
        <f>E26*3</f>
        <v>0</v>
      </c>
      <c r="G26"/>
      <c r="H26" s="83" t="s">
        <v>80</v>
      </c>
      <c r="I26" s="84"/>
      <c r="J26" s="84"/>
      <c r="K26" s="84"/>
      <c r="L26" s="85"/>
      <c r="M26" s="14">
        <v>0</v>
      </c>
      <c r="T26" s="4">
        <v>23</v>
      </c>
    </row>
    <row r="27" spans="2:20" ht="17.25" thickBot="1" x14ac:dyDescent="0.35">
      <c r="B27" s="81" t="s">
        <v>81</v>
      </c>
      <c r="C27" s="82"/>
      <c r="D27" s="9">
        <f>E27*109</f>
        <v>0</v>
      </c>
      <c r="E27" s="9">
        <v>0</v>
      </c>
      <c r="F27" s="17">
        <f>E27*3</f>
        <v>0</v>
      </c>
      <c r="G27"/>
      <c r="H27" s="75" t="s">
        <v>82</v>
      </c>
      <c r="I27" s="76"/>
      <c r="J27" s="76"/>
      <c r="K27" s="76"/>
      <c r="L27" s="77"/>
      <c r="M27" s="15">
        <v>1496</v>
      </c>
      <c r="T27" s="4">
        <v>24</v>
      </c>
    </row>
    <row r="28" spans="2:20" ht="17.25" thickBot="1" x14ac:dyDescent="0.35">
      <c r="B28" s="81" t="s">
        <v>83</v>
      </c>
      <c r="C28" s="82"/>
      <c r="D28" s="9">
        <f>E28*38</f>
        <v>38</v>
      </c>
      <c r="E28" s="9">
        <v>1</v>
      </c>
      <c r="F28" s="17">
        <f>E28*2</f>
        <v>2</v>
      </c>
      <c r="G28"/>
      <c r="H28"/>
      <c r="I28"/>
      <c r="J28"/>
      <c r="K28"/>
      <c r="L28"/>
      <c r="M28" s="39">
        <f>M26/M27*27</f>
        <v>0</v>
      </c>
      <c r="T28" s="4">
        <v>25</v>
      </c>
    </row>
    <row r="29" spans="2:20" ht="17.25" thickBot="1" x14ac:dyDescent="0.35">
      <c r="B29" s="81" t="s">
        <v>84</v>
      </c>
      <c r="C29" s="82"/>
      <c r="D29" s="9">
        <f>E29*1.5</f>
        <v>1.5</v>
      </c>
      <c r="E29" s="9">
        <v>1</v>
      </c>
      <c r="F29" s="17">
        <f>E29*2</f>
        <v>2</v>
      </c>
      <c r="G29"/>
      <c r="H29"/>
      <c r="I29"/>
      <c r="J29"/>
      <c r="K29"/>
      <c r="L29"/>
      <c r="M29" s="40">
        <f>M26/M27</f>
        <v>0</v>
      </c>
      <c r="T29" s="4">
        <v>26</v>
      </c>
    </row>
    <row r="30" spans="2:20" ht="17.25" thickBot="1" x14ac:dyDescent="0.35">
      <c r="B30" s="81" t="s">
        <v>85</v>
      </c>
      <c r="C30" s="82"/>
      <c r="D30" s="9">
        <f>E30*109</f>
        <v>109</v>
      </c>
      <c r="E30" s="9">
        <v>1</v>
      </c>
      <c r="F30" s="17">
        <f t="shared" ref="F30" si="9">E30*3</f>
        <v>3</v>
      </c>
      <c r="G30"/>
      <c r="H30"/>
      <c r="I30"/>
      <c r="J30"/>
      <c r="K30"/>
      <c r="L30"/>
      <c r="M30"/>
      <c r="T30" s="4">
        <v>27</v>
      </c>
    </row>
    <row r="31" spans="2:20" ht="17.25" thickBot="1" x14ac:dyDescent="0.35">
      <c r="B31" s="81" t="s">
        <v>86</v>
      </c>
      <c r="C31" s="82"/>
      <c r="D31" s="9">
        <f>E31*0.75</f>
        <v>3</v>
      </c>
      <c r="E31" s="9">
        <v>4</v>
      </c>
      <c r="F31" s="17">
        <f>E31*1</f>
        <v>4</v>
      </c>
      <c r="G31"/>
      <c r="H31" s="91" t="s">
        <v>87</v>
      </c>
      <c r="I31" s="92"/>
      <c r="J31" s="92"/>
      <c r="K31" s="92"/>
      <c r="L31" s="92"/>
      <c r="M31" s="93"/>
      <c r="T31" s="4">
        <v>28</v>
      </c>
    </row>
    <row r="32" spans="2:20" ht="16.5" x14ac:dyDescent="0.3">
      <c r="B32" s="81" t="s">
        <v>88</v>
      </c>
      <c r="C32" s="82"/>
      <c r="D32" s="9">
        <f>E32*0.5</f>
        <v>0</v>
      </c>
      <c r="E32" s="9">
        <v>0</v>
      </c>
      <c r="F32" s="17">
        <f>E32*1</f>
        <v>0</v>
      </c>
      <c r="G32"/>
      <c r="H32" s="83" t="s">
        <v>89</v>
      </c>
      <c r="I32" s="84"/>
      <c r="J32" s="84"/>
      <c r="K32" s="84"/>
      <c r="L32" s="85"/>
      <c r="M32" s="14">
        <v>287</v>
      </c>
      <c r="T32" s="4">
        <v>29</v>
      </c>
    </row>
    <row r="33" spans="2:20" ht="16.5" x14ac:dyDescent="0.3">
      <c r="B33" s="81" t="s">
        <v>90</v>
      </c>
      <c r="C33" s="82"/>
      <c r="D33" s="9">
        <f>E33*2</f>
        <v>0</v>
      </c>
      <c r="E33" s="9">
        <v>0</v>
      </c>
      <c r="F33" s="17">
        <f>E33*1</f>
        <v>0</v>
      </c>
      <c r="G33"/>
      <c r="H33" s="86" t="s">
        <v>91</v>
      </c>
      <c r="I33" s="87"/>
      <c r="J33" s="87"/>
      <c r="K33" s="87"/>
      <c r="L33" s="88"/>
      <c r="M33" s="16">
        <v>38</v>
      </c>
      <c r="T33" s="4">
        <v>30</v>
      </c>
    </row>
    <row r="34" spans="2:20" ht="17.25" thickBot="1" x14ac:dyDescent="0.35">
      <c r="B34" s="89" t="s">
        <v>92</v>
      </c>
      <c r="C34" s="90"/>
      <c r="D34" s="12">
        <f>E34*2</f>
        <v>0</v>
      </c>
      <c r="E34" s="12">
        <v>0</v>
      </c>
      <c r="F34" s="17">
        <f>E34*1</f>
        <v>0</v>
      </c>
      <c r="G34"/>
      <c r="H34" s="86" t="s">
        <v>93</v>
      </c>
      <c r="I34" s="87"/>
      <c r="J34" s="87"/>
      <c r="K34" s="87"/>
      <c r="L34" s="88"/>
      <c r="M34" s="16">
        <v>0</v>
      </c>
      <c r="T34" s="4"/>
    </row>
    <row r="35" spans="2:20" ht="17.25" thickBot="1" x14ac:dyDescent="0.35">
      <c r="B35" s="73"/>
      <c r="C35" s="74"/>
      <c r="D35" s="8" t="s">
        <v>76</v>
      </c>
      <c r="E35" s="8" t="s">
        <v>77</v>
      </c>
      <c r="F35" s="8" t="s">
        <v>94</v>
      </c>
      <c r="G35"/>
      <c r="H35" s="75" t="s">
        <v>82</v>
      </c>
      <c r="I35" s="76"/>
      <c r="J35" s="76"/>
      <c r="K35" s="76"/>
      <c r="L35" s="77"/>
      <c r="M35" s="15">
        <v>27589</v>
      </c>
    </row>
    <row r="36" spans="2:20" ht="17.25" thickBot="1" x14ac:dyDescent="0.35">
      <c r="B36" s="57"/>
      <c r="C36" s="78"/>
      <c r="D36" s="37">
        <f>IF(V5&lt;=1,1,IF(V5&lt;=2,2,IF(V5&lt;=3,3,IF(V5&lt;=4,4,IF(V5&gt;4,5)))))</f>
        <v>5</v>
      </c>
      <c r="E36" s="38">
        <f>IF(V6&gt;11,5,IF(V6&gt;=4,4,IF(V6&gt;=1,3,IF(V6&gt;0.3333,2,1))))</f>
        <v>4</v>
      </c>
      <c r="F36" s="37">
        <f>D36+E36-1</f>
        <v>8</v>
      </c>
      <c r="G36" s="79"/>
      <c r="H36" s="80"/>
      <c r="I36" s="80"/>
      <c r="J36" s="80"/>
      <c r="K36"/>
      <c r="L36"/>
      <c r="M36" s="39">
        <f>((V3-(M33*0.3)+(M34*100))/M35)*27</f>
        <v>0.26971619123563739</v>
      </c>
    </row>
    <row r="37" spans="2:20" ht="17.25" thickBot="1" x14ac:dyDescent="0.35">
      <c r="B37" s="57"/>
      <c r="C37" s="57"/>
      <c r="G37"/>
      <c r="H37"/>
      <c r="I37"/>
      <c r="J37"/>
      <c r="K37"/>
      <c r="L37"/>
      <c r="M37" s="41">
        <f>(M32+M33+M34)/M35</f>
        <v>1.1780057269201493E-2</v>
      </c>
    </row>
    <row r="38" spans="2:20" x14ac:dyDescent="0.3">
      <c r="B38" s="57"/>
      <c r="C38" s="57"/>
    </row>
    <row r="39" spans="2:20" x14ac:dyDescent="0.3">
      <c r="B39" s="57"/>
      <c r="C39" s="57"/>
    </row>
    <row r="40" spans="2:20" x14ac:dyDescent="0.3">
      <c r="B40" s="58"/>
      <c r="C40" s="58"/>
    </row>
  </sheetData>
  <mergeCells count="46">
    <mergeCell ref="B32:C32"/>
    <mergeCell ref="H32:L32"/>
    <mergeCell ref="B20:C20"/>
    <mergeCell ref="B22:C22"/>
    <mergeCell ref="H25:M25"/>
    <mergeCell ref="B26:C26"/>
    <mergeCell ref="B28:C28"/>
    <mergeCell ref="B29:C29"/>
    <mergeCell ref="B30:C30"/>
    <mergeCell ref="B31:C31"/>
    <mergeCell ref="H31:M31"/>
    <mergeCell ref="H26:L26"/>
    <mergeCell ref="B27:C27"/>
    <mergeCell ref="H27:L27"/>
    <mergeCell ref="B21:C21"/>
    <mergeCell ref="B38:C38"/>
    <mergeCell ref="B39:C39"/>
    <mergeCell ref="B40:C40"/>
    <mergeCell ref="B33:C33"/>
    <mergeCell ref="H33:L33"/>
    <mergeCell ref="B34:C34"/>
    <mergeCell ref="H34:L34"/>
    <mergeCell ref="B35:C35"/>
    <mergeCell ref="H35:L35"/>
    <mergeCell ref="B36:C36"/>
    <mergeCell ref="G36:J36"/>
    <mergeCell ref="B37:C37"/>
    <mergeCell ref="B17:C17"/>
    <mergeCell ref="B18:C18"/>
    <mergeCell ref="B19:C19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6:C6"/>
    <mergeCell ref="B1:R1"/>
    <mergeCell ref="B2:C2"/>
    <mergeCell ref="B3:C3"/>
    <mergeCell ref="B4:C4"/>
    <mergeCell ref="B5:C5"/>
  </mergeCells>
  <conditionalFormatting sqref="D3:R22">
    <cfRule type="cellIs" priority="5" operator="lessThan">
      <formula>1</formula>
    </cfRule>
  </conditionalFormatting>
  <conditionalFormatting sqref="F3:F22 I3:I22 L3:L22 O3:O22 R3:R22">
    <cfRule type="cellIs" dxfId="5" priority="6" stopIfTrue="1" operator="greaterThan">
      <formula>5.4</formula>
    </cfRule>
    <cfRule type="cellIs" dxfId="4" priority="7" stopIfTrue="1" operator="between">
      <formula>0.6</formula>
      <formula>3.4</formula>
    </cfRule>
    <cfRule type="cellIs" dxfId="3" priority="8" stopIfTrue="1" operator="between">
      <formula>3.5</formula>
      <formula>5.4</formula>
    </cfRule>
  </conditionalFormatting>
  <conditionalFormatting sqref="F36">
    <cfRule type="cellIs" dxfId="2" priority="1" operator="between">
      <formula>3.5</formula>
      <formula>5.4</formula>
    </cfRule>
    <cfRule type="cellIs" dxfId="1" priority="2" operator="greaterThan">
      <formula>5.4</formula>
    </cfRule>
    <cfRule type="cellIs" dxfId="0" priority="3" operator="between">
      <formula>0.6</formula>
      <formula>3.4</formula>
    </cfRule>
    <cfRule type="cellIs" priority="4" operator="lessThan">
      <formula>1</formula>
    </cfRule>
  </conditionalFormatting>
  <dataValidations count="1">
    <dataValidation type="list" allowBlank="1" showInputMessage="1" showErrorMessage="1" sqref="E26:E34" xr:uid="{194F0983-2695-4B59-AAB9-F445AF7669FE}">
      <formula1>$T$3:$T$34</formula1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BA2F64D6E2C740A2EFD32F6136F44B" ma:contentTypeVersion="31" ma:contentTypeDescription="Create a new document." ma:contentTypeScope="" ma:versionID="f6d5169442be2795745eeba6edf0f975">
  <xsd:schema xmlns:xsd="http://www.w3.org/2001/XMLSchema" xmlns:xs="http://www.w3.org/2001/XMLSchema" xmlns:p="http://schemas.microsoft.com/office/2006/metadata/properties" xmlns:ns2="25586fb6-ed09-4f2d-8ea7-eda1a9fd2320" xmlns:ns3="cc7fbaa3-8214-4644-99f1-d2e5a6ae9914" xmlns:ns4="f0c7a816-7a7e-42fb-b4dd-eafc20cb049d" targetNamespace="http://schemas.microsoft.com/office/2006/metadata/properties" ma:root="true" ma:fieldsID="1d6046f623722b44c576f527ef753e5d" ns2:_="" ns3:_="" ns4:_="">
    <xsd:import namespace="25586fb6-ed09-4f2d-8ea7-eda1a9fd2320"/>
    <xsd:import namespace="cc7fbaa3-8214-4644-99f1-d2e5a6ae9914"/>
    <xsd:import namespace="f0c7a816-7a7e-42fb-b4dd-eafc20cb049d"/>
    <xsd:element name="properties">
      <xsd:complexType>
        <xsd:sequence>
          <xsd:element name="documentManagement">
            <xsd:complexType>
              <xsd:all>
                <xsd:element ref="ns2:Process_x0020_Owmer"/>
                <xsd:element ref="ns2:Functional_x0020_Owner"/>
                <xsd:element ref="ns3:LastReviewDate" minOccurs="0"/>
                <xsd:element ref="ns2:Nomenclature" minOccurs="0"/>
                <xsd:element ref="ns3:RevisionNumber" minOccurs="0"/>
                <xsd:element ref="ns2:MediaServiceMetadata" minOccurs="0"/>
                <xsd:element ref="ns2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586fb6-ed09-4f2d-8ea7-eda1a9fd2320" elementFormDefault="qualified">
    <xsd:import namespace="http://schemas.microsoft.com/office/2006/documentManagement/types"/>
    <xsd:import namespace="http://schemas.microsoft.com/office/infopath/2007/PartnerControls"/>
    <xsd:element name="Process_x0020_Owmer" ma:index="1" ma:displayName="Have a question? Email the Process Owner" ma:description="Discuss Audit Findings and QWI Updates with the Responsible Person" ma:list="UserInfo" ma:SharePointGroup="0" ma:internalName="Process_x0020_Owmer" ma:readOnly="false" ma:showField="NameWithPictureAndDetails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Functional_x0020_Owner" ma:index="2" ma:displayName="Function" ma:default="Management Processes - Leadership and Commitment" ma:description="Management Processes - Leadership and Commitment" ma:format="Dropdown" ma:internalName="Functional_x0020_Owner" ma:readOnly="false">
      <xsd:simpleType>
        <xsd:restriction base="dms:Text">
          <xsd:maxLength value="255"/>
        </xsd:restriction>
      </xsd:simpleType>
    </xsd:element>
    <xsd:element name="Nomenclature" ma:index="4" nillable="true" ma:displayName="Document Number" ma:format="Dropdown" ma:internalName="Nomenclature" ma:readOnly="false">
      <xsd:simpleType>
        <xsd:restriction base="dms:Text">
          <xsd:maxLength value="255"/>
        </xsd:restriction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7fbaa3-8214-4644-99f1-d2e5a6ae9914" elementFormDefault="qualified">
    <xsd:import namespace="http://schemas.microsoft.com/office/2006/documentManagement/types"/>
    <xsd:import namespace="http://schemas.microsoft.com/office/infopath/2007/PartnerControls"/>
    <xsd:element name="LastReviewDate" ma:index="3" nillable="true" ma:displayName="Last Review Date" ma:description="The date the procedure was last reviewed or revised" ma:format="DateOnly" ma:internalName="LastReviewDate" ma:readOnly="false">
      <xsd:simpleType>
        <xsd:restriction base="dms:DateTime"/>
      </xsd:simpleType>
    </xsd:element>
    <xsd:element name="RevisionNumber" ma:index="5" nillable="true" ma:displayName="Revision Number" ma:decimals="1" ma:description="The current revision published" ma:format="Dropdown" ma:internalName="RevisionNumber" ma:readOnly="false" ma:percentage="FALSE">
      <xsd:simpleType>
        <xsd:restriction base="dms:Number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7a816-7a7e-42fb-b4dd-eafc20cb049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QMS Lev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cess_x0020_Owmer xmlns="25586fb6-ed09-4f2d-8ea7-eda1a9fd2320">
      <UserInfo>
        <DisplayName>Naser, Mohamed (GE Vernova)</DisplayName>
        <AccountId>19755</AccountId>
        <AccountType/>
      </UserInfo>
    </Process_x0020_Owmer>
    <Functional_x0020_Owner xmlns="25586fb6-ed09-4f2d-8ea7-eda1a9fd2320">Management Processes - Leadership and Commitment</Functional_x0020_Owner>
    <Nomenclature xmlns="25586fb6-ed09-4f2d-8ea7-eda1a9fd2320">OFS EHS Global Risk Register</Nomenclature>
    <LastReviewDate xmlns="cc7fbaa3-8214-4644-99f1-d2e5a6ae9914">2024-01-01T05:00:00+00:00</LastReviewDate>
    <RevisionNumber xmlns="cc7fbaa3-8214-4644-99f1-d2e5a6ae9914" xsi:nil="true"/>
  </documentManagement>
</p:properties>
</file>

<file path=customXml/itemProps1.xml><?xml version="1.0" encoding="utf-8"?>
<ds:datastoreItem xmlns:ds="http://schemas.openxmlformats.org/officeDocument/2006/customXml" ds:itemID="{4C5A763C-1498-4C6A-8B70-499B619B55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586fb6-ed09-4f2d-8ea7-eda1a9fd2320"/>
    <ds:schemaRef ds:uri="cc7fbaa3-8214-4644-99f1-d2e5a6ae9914"/>
    <ds:schemaRef ds:uri="f0c7a816-7a7e-42fb-b4dd-eafc20cb04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3117AE-D8A0-4E15-B811-DC5173B2C8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458092-456C-49C6-BFD8-07B972906C5D}">
  <ds:schemaRefs>
    <ds:schemaRef ds:uri="http://purl.org/dc/elements/1.1/"/>
    <ds:schemaRef ds:uri="f0c7a816-7a7e-42fb-b4dd-eafc20cb049d"/>
    <ds:schemaRef ds:uri="http://www.w3.org/XML/1998/namespace"/>
    <ds:schemaRef ds:uri="cc7fbaa3-8214-4644-99f1-d2e5a6ae9914"/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25586fb6-ed09-4f2d-8ea7-eda1a9fd2320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GP 2022_Global</vt:lpstr>
      <vt:lpstr>GP 2024_Global</vt:lpstr>
      <vt:lpstr>Sheet1</vt:lpstr>
      <vt:lpstr>Segment Roll-up</vt:lpstr>
      <vt:lpstr>Region Roll-up</vt:lpstr>
      <vt:lpstr>'GP 2022_Global'!Print_Area</vt:lpstr>
      <vt:lpstr>'GP 2024_Global'!Print_Area</vt:lpstr>
    </vt:vector>
  </TitlesOfParts>
  <Manager/>
  <Company>Smartsheet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 (FieldCore)</dc:creator>
  <cp:keywords/>
  <dc:description/>
  <cp:lastModifiedBy>Naser, Mohamed (GE Vernova)</cp:lastModifiedBy>
  <cp:revision/>
  <dcterms:created xsi:type="dcterms:W3CDTF">2015-10-16T18:32:25Z</dcterms:created>
  <dcterms:modified xsi:type="dcterms:W3CDTF">2025-07-01T10:17:10Z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0x010100AABA2F64D6E2C740A2EFD32F6136F44B</vt:lpwstr>
  </property>
</Properties>
</file>