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7"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212325506\Desktop\2026 TRAs\"/>
    </mc:Choice>
  </mc:AlternateContent>
  <xr:revisionPtr revIDLastSave="1" documentId="8_{F61F1E8D-2EB2-420E-A3A2-35B2EAD23C99}" xr6:coauthVersionLast="47" xr6:coauthVersionMax="47" xr10:uidLastSave="{7D11F631-B14F-4529-99AD-D938ACBACAC6}"/>
  <bookViews>
    <workbookView xWindow="-110" yWindow="-110" windowWidth="19420" windowHeight="10300" xr2:uid="{12A20157-04E8-41C7-A0CE-DD1E97B87015}"/>
  </bookViews>
  <sheets>
    <sheet name="TRA_English" sheetId="1" r:id="rId1"/>
    <sheet name="Hazard_Defense_Code" sheetId="6" r:id="rId2"/>
    <sheet name="Risk Matrix" sheetId="2" r:id="rId3"/>
    <sheet name="Severity Guidance" sheetId="7" r:id="rId4"/>
    <sheet name="Risk Calculator_Guidance" sheetId="3" r:id="rId5"/>
    <sheet name="Note" sheetId="5" r:id="rId6"/>
  </sheets>
  <externalReferences>
    <externalReference r:id="rId7"/>
    <externalReference r:id="rId8"/>
    <externalReference r:id="rId9"/>
  </externalReferences>
  <definedNames>
    <definedName name="_xlnm._FilterDatabase" localSheetId="1" hidden="1">Hazard_Defense_Code!$A$1:$F$183</definedName>
    <definedName name="ALARP" localSheetId="1">'[1]Data - Project'!#REF!</definedName>
    <definedName name="ALARP" localSheetId="3">'[2]Data - Project'!#REF!</definedName>
    <definedName name="ALARP">'[1]Data - Project'!#REF!</definedName>
    <definedName name="FormExp" localSheetId="3">'[2]Data - HRA'!$A$9:$A$17</definedName>
    <definedName name="FormExp">'[1]Data - HRA'!$A$9:$A$17</definedName>
    <definedName name="Graph_Options" localSheetId="1">#REF!</definedName>
    <definedName name="Graph_Options">#REF!</definedName>
    <definedName name="HazSerNo" localSheetId="3">OFFSET('[2]Project HHI(Example)'!$A$3,0,0,COUNT('[2]Project HHI(Example)'!$A:$A),1)</definedName>
    <definedName name="HazSerNo">OFFSET('[1]Project HHI(Example)'!$A$3,0,0,COUNT('[1]Project HHI(Example)'!$A:$A),1)</definedName>
    <definedName name="HHG" localSheetId="3">'[2]Data - HRA'!$C$2:$C$6</definedName>
    <definedName name="HHG">'[1]Data - HRA'!$C$2:$C$6</definedName>
    <definedName name="List" localSheetId="1">#REF!</definedName>
    <definedName name="List">#REF!</definedName>
    <definedName name="NA" localSheetId="1">'[3]Weekly Site Inspection'!#REF!,'[3]Weekly Site Inspection'!$I$13:$I$17,'[3]Weekly Site Inspection'!$I$34:$I$95</definedName>
    <definedName name="NA">'[3]Weekly Site Inspection'!#REF!,'[3]Weekly Site Inspection'!$I$13:$I$17,'[3]Weekly Site Inspection'!$I$34:$I$95</definedName>
    <definedName name="NC" localSheetId="1">'[3]Weekly Site Inspection'!#REF!,'[3]Weekly Site Inspection'!$H$13:$H$17,'[3]Weekly Site Inspection'!$H$34:$H$95</definedName>
    <definedName name="NC">'[3]Weekly Site Inspection'!#REF!,'[3]Weekly Site Inspection'!$H$13:$H$17,'[3]Weekly Site Inspection'!$H$34:$H$95</definedName>
    <definedName name="_xlnm.Print_Area" localSheetId="4">'Risk Calculator_Guidance'!$A$1:$E$16</definedName>
    <definedName name="_xlnm.Print_Area" localSheetId="3">'Severity Guidance'!$B$2:$H$7</definedName>
    <definedName name="_xlnm.Print_Area" localSheetId="0">TRA_English!$A$1:$Y$39</definedName>
    <definedName name="RAM" localSheetId="1">#REF!</definedName>
    <definedName name="RAM">#REF!</definedName>
    <definedName name="RouteExp" localSheetId="3">'[2]Data - HRA'!$A$2:$A$7</definedName>
    <definedName name="RouteExp">'[1]Data - HRA'!$A$2:$A$7</definedName>
    <definedName name="X" localSheetId="1">#REF!</definedName>
    <definedName name="X">#REF!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9" i="1" l="1"/>
  <c r="K30" i="1"/>
  <c r="K31" i="1"/>
  <c r="U6" i="1" l="1"/>
  <c r="O27" i="1" l="1"/>
  <c r="O26" i="1"/>
  <c r="O25" i="1"/>
  <c r="O24" i="1"/>
  <c r="O23" i="1"/>
  <c r="O22" i="1"/>
  <c r="K26" i="1"/>
  <c r="K25" i="1"/>
  <c r="K24" i="1"/>
  <c r="K23" i="1"/>
  <c r="K22" i="1"/>
  <c r="D5" i="3" l="1"/>
  <c r="D4" i="3" l="1"/>
  <c r="C4" i="3"/>
  <c r="D3" i="3"/>
  <c r="C13" i="3"/>
  <c r="C12" i="3"/>
  <c r="C14" i="3"/>
  <c r="C15" i="3"/>
  <c r="C5" i="3"/>
  <c r="C6" i="3"/>
  <c r="D6" i="3"/>
  <c r="C3" i="3"/>
  <c r="O31" i="1"/>
  <c r="O30" i="1"/>
  <c r="O29" i="1"/>
  <c r="O28" i="1"/>
  <c r="O21" i="1"/>
  <c r="O20" i="1"/>
  <c r="K28" i="1" l="1"/>
  <c r="K27" i="1"/>
  <c r="K21" i="1" l="1"/>
  <c r="K20" i="1" l="1"/>
  <c r="E6" i="3" l="1"/>
  <c r="C7" i="3"/>
  <c r="D8" i="3"/>
  <c r="E5" i="3"/>
  <c r="E3" i="3"/>
  <c r="C8" i="3"/>
  <c r="D7" i="3"/>
  <c r="E4" i="3"/>
  <c r="D9" i="3" l="1"/>
  <c r="C9" i="3"/>
  <c r="E8" i="3"/>
  <c r="E7" i="3"/>
  <c r="E9" i="3" l="1"/>
</calcChain>
</file>

<file path=xl/sharedStrings.xml><?xml version="1.0" encoding="utf-8"?>
<sst xmlns="http://schemas.openxmlformats.org/spreadsheetml/2006/main" count="479" uniqueCount="437">
  <si>
    <t>TITLE:</t>
  </si>
  <si>
    <t>DOCUMENT NUMBER:</t>
  </si>
  <si>
    <t>TASK RISK ASSESSMENT</t>
  </si>
  <si>
    <r>
      <rPr>
        <sz val="11"/>
        <color theme="1"/>
        <rFont val="Montserrat SemiBold"/>
      </rPr>
      <t>FC-GL-EHS-MAN-0501-F3</t>
    </r>
    <r>
      <rPr>
        <sz val="10"/>
        <color theme="1"/>
        <rFont val="Montserrat SemiBold"/>
      </rPr>
      <t xml:space="preserve"> </t>
    </r>
    <r>
      <rPr>
        <sz val="8"/>
        <color theme="1"/>
        <rFont val="Montserrat SemiBold"/>
      </rPr>
      <t>(Tab Q.1)</t>
    </r>
  </si>
  <si>
    <t>REGION:</t>
  </si>
  <si>
    <t>ISSUE:</t>
  </si>
  <si>
    <t>DATE:</t>
  </si>
  <si>
    <t>PAGE:</t>
  </si>
  <si>
    <t>GLOBAL</t>
  </si>
  <si>
    <t>1 of 1</t>
  </si>
  <si>
    <t>WORK ACTIVITY:</t>
  </si>
  <si>
    <t>PROCEDURE REFERENCE NUMBER</t>
  </si>
  <si>
    <t>Iss / Rev</t>
  </si>
  <si>
    <t>TRA No.</t>
  </si>
  <si>
    <t>Iss / Rev:</t>
  </si>
  <si>
    <t>Date:</t>
  </si>
  <si>
    <t>nn</t>
  </si>
  <si>
    <t>PERSONNEL IMPACTED (Tick all applicable)</t>
  </si>
  <si>
    <r>
      <rPr>
        <sz val="9"/>
        <color rgb="FFFF0000"/>
        <rFont val="Calibri"/>
        <family val="2"/>
        <scheme val="minor"/>
      </rPr>
      <t xml:space="preserve">Special Notes:
Controls defined in this TRA are minimum requirements and shall be supplemented as necessary based on site-specific conditions.
</t>
    </r>
    <r>
      <rPr>
        <sz val="9"/>
        <color rgb="FF0033CC"/>
        <rFont val="Calibri"/>
        <family val="2"/>
        <scheme val="minor"/>
      </rPr>
      <t xml:space="preserve">                                                                                                         </t>
    </r>
    <r>
      <rPr>
        <sz val="9"/>
        <color rgb="FF0070C0"/>
        <rFont val="Calibri"/>
        <family val="2"/>
        <scheme val="minor"/>
      </rPr>
      <t xml:space="preserve">                </t>
    </r>
    <r>
      <rPr>
        <b/>
        <u/>
        <sz val="9"/>
        <color rgb="FF0070C0"/>
        <rFont val="Calibri"/>
        <family val="2"/>
        <scheme val="minor"/>
      </rPr>
      <t xml:space="preserve">Work shall not proceed until </t>
    </r>
    <r>
      <rPr>
        <sz val="9"/>
        <color rgb="FF0070C0"/>
        <rFont val="Calibri"/>
        <family val="2"/>
        <scheme val="minor"/>
      </rPr>
      <t xml:space="preserve">
                                                                                      SWAT findings are addressed and communicated to the team.
                                                                                      Identify and comply with all applicable GE Vernova Life Saving Rules before and during task execution.</t>
    </r>
  </si>
  <si>
    <t>Severity</t>
  </si>
  <si>
    <t>Frequency</t>
  </si>
  <si>
    <t>SEVERITY</t>
  </si>
  <si>
    <t>Risk Rating</t>
  </si>
  <si>
    <t>Strategy</t>
  </si>
  <si>
    <t>FREQUENCY</t>
  </si>
  <si>
    <t>S1</t>
  </si>
  <si>
    <t>S2</t>
  </si>
  <si>
    <t>S3</t>
  </si>
  <si>
    <t>S4</t>
  </si>
  <si>
    <t>S5</t>
  </si>
  <si>
    <t>High</t>
  </si>
  <si>
    <t>Intervention - (Critical Step)
PPE cannot be assigned as a Primary Defense</t>
  </si>
  <si>
    <t>Major</t>
  </si>
  <si>
    <t>F5</t>
  </si>
  <si>
    <t>Monthly</t>
  </si>
  <si>
    <t>Severe</t>
  </si>
  <si>
    <t>F4</t>
  </si>
  <si>
    <t>Quarterly</t>
  </si>
  <si>
    <t>Medium</t>
  </si>
  <si>
    <t xml:space="preserve">Control
Do not proceed - additional defenses required
</t>
  </si>
  <si>
    <t>Significant</t>
  </si>
  <si>
    <t>F3</t>
  </si>
  <si>
    <t>Annually</t>
  </si>
  <si>
    <t>Moderate</t>
  </si>
  <si>
    <t>F2</t>
  </si>
  <si>
    <t>Bi-Annually</t>
  </si>
  <si>
    <t>Low</t>
  </si>
  <si>
    <t>Monitor
Maintain Defenses</t>
  </si>
  <si>
    <t>Minor</t>
  </si>
  <si>
    <t>F1</t>
  </si>
  <si>
    <t>&gt; two years</t>
  </si>
  <si>
    <t>*Risk = (Severity + Frequency) -1</t>
  </si>
  <si>
    <t>TASK STEPS</t>
  </si>
  <si>
    <t>POTENTIAL RISK (PR)</t>
  </si>
  <si>
    <t>DEFENCES:</t>
  </si>
  <si>
    <t>CONTROLLED RISK (CR)</t>
  </si>
  <si>
    <t>HAZARDS:</t>
  </si>
  <si>
    <t>S</t>
  </si>
  <si>
    <t>F</t>
  </si>
  <si>
    <t>PR*</t>
  </si>
  <si>
    <t>CR*</t>
  </si>
  <si>
    <t>Safe Method of Work ( based on stated Defences )</t>
  </si>
  <si>
    <t>EQUIPMENT /MATERIAL / PPE REQUIRED</t>
  </si>
  <si>
    <r>
      <rPr>
        <sz val="6"/>
        <color rgb="FFFF0000"/>
        <rFont val="Montserrat"/>
      </rPr>
      <t xml:space="preserve">Comply with GE Vernova Personal Protective Equipment (PPE) FC-GL-EHS-SAF-0711, PPE Matrix requirements </t>
    </r>
    <r>
      <rPr>
        <sz val="6"/>
        <color theme="1"/>
        <rFont val="Montserrat"/>
      </rPr>
      <t xml:space="preserve">
</t>
    </r>
    <r>
      <rPr>
        <b/>
        <sz val="6"/>
        <color theme="1"/>
        <rFont val="Montserrat"/>
      </rPr>
      <t>Standard PPE</t>
    </r>
    <r>
      <rPr>
        <sz val="6"/>
        <color theme="1"/>
        <rFont val="Montserrat"/>
      </rPr>
      <t>: Protective Clothing (Natural Fabrics, Non-Synthetic, Anti-Static: ISO 1149-5 , Flame Retardant: ISO 11612: A1-B1-C1-E1-F1, Arc Flash: IEC 61482: APC 1) , Hard Hat (EN 397 / ANSI Z89.1 / AS/NZS 1801), Cut Resistant Gloves ( EN388 / AS/NZS 2161: Abrasion - 3, Cut 3 (Coupe), Tear - 4)  Safety Glasses (EN 166-1F / ANSI Z87.1 / AS/NZS 1336 / AS/NZS 1337), Safety Boots (ISO 20345, Cat II, S3),  Double Lanyard Safety Harness for all work at height.  PPE as required by Chemical Safety Data Sheet should be worn as instructed.  All rigging and lifting equipment should be certified and pre-use inspected.</t>
    </r>
  </si>
  <si>
    <t>TRA Created BY</t>
  </si>
  <si>
    <t xml:space="preserve">SIGNATURE: </t>
  </si>
  <si>
    <t xml:space="preserve">PRINT NAME: </t>
  </si>
  <si>
    <t xml:space="preserve">DATE: </t>
  </si>
  <si>
    <t xml:space="preserve"> REVIEWED &amp; APPROVED BY</t>
  </si>
  <si>
    <t xml:space="preserve">PRINT NAME:  </t>
  </si>
  <si>
    <t>Hazards</t>
  </si>
  <si>
    <t>Risk Score</t>
  </si>
  <si>
    <t>Comments</t>
  </si>
  <si>
    <t>Defences</t>
  </si>
  <si>
    <t>I&amp;M Core Activity</t>
  </si>
  <si>
    <t>I&amp;M Case Accident Type</t>
  </si>
  <si>
    <t>I&amp;M Case Injury Type</t>
  </si>
  <si>
    <t>I&amp;M Case Illness Type</t>
  </si>
  <si>
    <t xml:space="preserve">Adjacent Activities </t>
  </si>
  <si>
    <r>
      <rPr>
        <sz val="11"/>
        <color theme="4"/>
        <rFont val="Calibri"/>
        <family val="2"/>
        <scheme val="minor"/>
      </rPr>
      <t>Assess hazards from adjacent work activities (noise, dust, fumes, heavy metals), coordinate with other parties</t>
    </r>
    <r>
      <rPr>
        <sz val="11"/>
        <rFont val="Calibri"/>
        <family val="2"/>
        <scheme val="minor"/>
      </rPr>
      <t>.</t>
    </r>
    <r>
      <rPr>
        <sz val="10"/>
        <rFont val="Calibri"/>
        <family val="2"/>
        <scheme val="minor"/>
      </rPr>
      <t xml:space="preserve">
</t>
    </r>
    <r>
      <rPr>
        <u/>
        <sz val="10"/>
        <color theme="10"/>
        <rFont val="Calibri"/>
        <family val="2"/>
        <scheme val="minor"/>
      </rPr>
      <t>Refer to IH TRA(s) IH02 Noise, IH07 Chemicals, &amp; IH09 Heavy Metal Work Risk Assessments</t>
    </r>
  </si>
  <si>
    <t>Communication, Industrial Hygiene Program, Supervisory Oversight</t>
  </si>
  <si>
    <t>Animals</t>
  </si>
  <si>
    <t>Inspect the work area for wildlife, insects, nests, hives, burrows, and animal waste before starting work. Do not disturb animals or nests, and stop work if aggressive wildlife is present. Wear appropriate PPE when exposure is possible and maintain good housekeeping to prevent attraction of animals. Report dangerous species or unusual activity immediately for control measures.</t>
  </si>
  <si>
    <t>Communication, PPE, Supervisory Oversight</t>
  </si>
  <si>
    <t>Asbestos</t>
  </si>
  <si>
    <r>
      <rPr>
        <sz val="10"/>
        <rFont val="Calibri"/>
        <family val="2"/>
        <scheme val="minor"/>
      </rPr>
      <t>An supplementary Asbestos Management Plan should be in place. Communicated and acted upon.</t>
    </r>
    <r>
      <rPr>
        <sz val="10"/>
        <color theme="10"/>
        <rFont val="Calibri"/>
        <family val="2"/>
        <scheme val="minor"/>
      </rPr>
      <t xml:space="preserve"> </t>
    </r>
    <r>
      <rPr>
        <u/>
        <sz val="10"/>
        <color theme="10"/>
        <rFont val="Calibri"/>
        <family val="2"/>
        <scheme val="minor"/>
      </rPr>
      <t xml:space="preserve"> IH TRA - IH08 Asbestos Risk Assessment should be in place, </t>
    </r>
    <r>
      <rPr>
        <sz val="10"/>
        <rFont val="Calibri"/>
        <family val="2"/>
        <scheme val="minor"/>
      </rPr>
      <t>communicated and acted upon, STOP WORK if suspect material that may be asbestos uncovered</t>
    </r>
  </si>
  <si>
    <t>Certified Equipment, Management of Change, Concern Report</t>
  </si>
  <si>
    <t>Biological Hazard</t>
  </si>
  <si>
    <t>A Biological Control Plan shall be established, communicated, and implemented where exposure to biological agents (including animal waste or waterborne contamination) is possible.</t>
  </si>
  <si>
    <t>PPE, Housekeeping , Supervisory Oversight</t>
  </si>
  <si>
    <t>Burst Disc</t>
  </si>
  <si>
    <r>
      <rPr>
        <sz val="10"/>
        <color theme="4"/>
        <rFont val="Montserrat"/>
      </rPr>
      <t xml:space="preserve">Use Point of work Grinding Assessment (Tab T2-POWGA-OFS) </t>
    </r>
    <r>
      <rPr>
        <sz val="10"/>
        <color theme="1"/>
        <rFont val="Montserrat"/>
      </rPr>
      <t>before starting the activities to identify and control hazards from burst (grinding) disks, and with the tool physically unplugged, ensure guard is in place and fully functional</t>
    </r>
  </si>
  <si>
    <t>Training/Competency, Correct Tooling, Certified Equipment, Pre-use inspection,  Barrier/Shielding,  PPE</t>
  </si>
  <si>
    <t>Chemicals</t>
  </si>
  <si>
    <t xml:space="preserve">Prior to applying the WD-40 or any other Chemical; review the MSDS’s to determine and fulfil with the precautions and PPE requirements. </t>
  </si>
  <si>
    <t>SDS (Safety Data Sheet), PPE</t>
  </si>
  <si>
    <t>Confined Space</t>
  </si>
  <si>
    <t>A valid Permit to Work shall be obtained prior to entry. All energy sources shall be isolated, including LOTO where applicable. Atmospheric testing shall be conducted before entry and monitored as required to ensure safe conditions. A trained attendant shall remain present with continuous communication maintained. Emergency response plans, rescue equipment, and personnel shall be verified as ready before entry.</t>
  </si>
  <si>
    <t>Permits, LOTO, Personal LOTO Lock, Gas Test, Ventilation, Emergency Plan/Response., Fitness for Duty.</t>
  </si>
  <si>
    <t xml:space="preserve">Congested Work Areas </t>
  </si>
  <si>
    <t>The work area shall be planned to ensure adequate space for safe body movement and tool handling. Exposure to awkward or constrained postures shall be limited through task rotation, time limitation, and regular breaks. Ergonomic aids shall be used where practicable. Work shall stop and be reported if discomfort, restricted movement, or unsafe posture is observed.</t>
  </si>
  <si>
    <t>Alternate Work Methods, Time Limitation/Freq Breaks, Job Rotation</t>
  </si>
  <si>
    <t>Contact with wheel</t>
  </si>
  <si>
    <t>Only trained and authorized personnel shall pre-use inspect and operate grinding equipment. Ensure the correct disc is selected for the material. Operators must not wear loose clothing or jewelry and must position themselves out of the line of fire in case snagging occurs. All grinding equipment must be fitted with a functional dead-man switch, and body parts must be kept clear of potential trap points.</t>
  </si>
  <si>
    <t>Training/Competency, Correct Tooling, Certified Equipment, Pre-use inspection,  Barrier/Shielding, Dead Man Switch, PPE</t>
  </si>
  <si>
    <t>Contractors</t>
  </si>
  <si>
    <t>Only contractors qualified and approved through the ComplyWorks Contractor Management Program shall be permitted to perform work. Ensure appropriate oversight of contractor activities and inform all affected employees of the work being performed in or around their areas.</t>
  </si>
  <si>
    <t>Qualification, Comply Works, Supervision.</t>
  </si>
  <si>
    <t>Deep Water</t>
  </si>
  <si>
    <t>An emergency rescue plan and buoyancy equipment should be available and personnel trained and qualified for work and rescue.</t>
  </si>
  <si>
    <t>Emergency Plan/Response, Life Vest, Supervisory Oversight</t>
  </si>
  <si>
    <t>DG Shipment</t>
  </si>
  <si>
    <t>Local Dangerous Goods shipment laws should be understood and followed.</t>
  </si>
  <si>
    <t>Permits, SDS (Safety Data Sheet), Qualified Third Party</t>
  </si>
  <si>
    <t xml:space="preserve">Driving Safety </t>
  </si>
  <si>
    <t>Always wear a seat belt, and never use a mobile phone or communication device while driving. Conduct a 360° walkaround inspection before operating the vehicle to ensure it is roadworthy and free of obstructions or leaks. Follow all traffic laws and site speed limits, and confirm you are physically and mentally fit to drive. Use only vehicles that meet GE Vernova TS2013 minimum safety standards. Develop and follow a Journey Management Plan based on route hazards and risks, including rest stops and weather conditions. Use a banks person or spotter when reversing or maneuvering in congested areas. Ensure an Emergency Response Plan is in place and that first aid kits and fire extinguishers are available and functional. Avoid driving under fatigue, medication influence, or adverse conditions that impair alertness.</t>
  </si>
  <si>
    <t>Training/Competency, Authorisation, Journy Management, Pre-use inspection</t>
  </si>
  <si>
    <t>Dropped Objects</t>
  </si>
  <si>
    <t>Risks related to overhead work and falling objects shall be identified and controlled. A clearly marked exclusion zone shall be established, and work above other personnel shall be avoided where possible. All tools, equipment, and materials shall be properly secured to prevent dropping. Appropriate PPE shall be worn to protect against falling or flying objects.</t>
  </si>
  <si>
    <t xml:space="preserve">Approach/Restriction Boundaries, Toe-boards, Tool Bag/Belt/Holder, Tool Tagging, PPE. </t>
  </si>
  <si>
    <t>Dust, Fume or Grit</t>
  </si>
  <si>
    <t>Ensure Local Exhaust Ventilation (LEV) or effective natural ventilation is in place to control airborne contaminants at the source. Conduct air quality monitoring where required and ensure respiratory protective equipment (RPE) is selected based on the hazard (e.g., FFP3 dust mask or air-fed mask for prolonged exposure). Wear appropriate PPE to protect the eyes, face, and neck, and ensure screens or barriers are positioned to prevent the spread of flying particles to adjacent work areas. Maintain good housekeeping and ensure regular cleaning of work surfaces and filters to prevent accumulation of dust or debris.</t>
  </si>
  <si>
    <t xml:space="preserve">Barrier/Shielding, LEV, RPE-Respirator, PPE-Eye/ Face protection, </t>
  </si>
  <si>
    <t>Electromagnetic Fields (EMF)</t>
  </si>
  <si>
    <r>
      <rPr>
        <sz val="10"/>
        <rFont val="Calibri"/>
        <family val="2"/>
        <scheme val="minor"/>
      </rPr>
      <t>Stop Work and refer to IH TRA</t>
    </r>
    <r>
      <rPr>
        <u/>
        <sz val="10"/>
        <color theme="10"/>
        <rFont val="Calibri"/>
        <family val="2"/>
        <scheme val="minor"/>
      </rPr>
      <t xml:space="preserve"> - IH06 EMF Radiation - Non- Ionising Radiation Risk Assessment if working in potentially high levels of Electromagnetic Fields</t>
    </r>
  </si>
  <si>
    <t>IH Risk Assessment Review,  Supervisory Oversight</t>
  </si>
  <si>
    <t>Energy Emitted</t>
  </si>
  <si>
    <t>An environmental risk assessment should be considered for high levels of energy emission.</t>
  </si>
  <si>
    <t xml:space="preserve">Energy Isolation </t>
  </si>
  <si>
    <t>All energy sources shall be identified and isolated prior to work. Approved LOTO procedures shall be followed to control hazardous energy and ensure all tools and equipment are fully isolated. Energy verification shall be completed before work begins, including testing for residual or stored energy to confirm a zero-energy state. Any partial removal of LOTO shall be planned, communicated, and authorized before proceeding. Only qualified and authorized personnel shall perform energy isolation activities.</t>
  </si>
  <si>
    <t xml:space="preserve">Training/Competency, Permits, LOTO, Personal LOTO Lock, Emergency Plan/Response. </t>
  </si>
  <si>
    <t>Ergonomics (Computer usage)</t>
  </si>
  <si>
    <r>
      <rPr>
        <sz val="10"/>
        <rFont val="Calibri"/>
        <family val="2"/>
        <scheme val="minor"/>
      </rPr>
      <t>An Ergonomics computer/workstation  should be in place and communicated to all affected persons (computer usage of &gt;1hr a day)</t>
    </r>
    <r>
      <rPr>
        <u/>
        <sz val="10"/>
        <color theme="10"/>
        <rFont val="Calibri"/>
        <family val="2"/>
        <scheme val="minor"/>
      </rPr>
      <t>.  IH TRA - IH14 (Computer Usage) Ergonomics Risk Assessment should be in place,</t>
    </r>
    <r>
      <rPr>
        <sz val="10"/>
        <rFont val="Calibri"/>
        <family val="2"/>
        <scheme val="minor"/>
      </rPr>
      <t xml:space="preserve"> communicated and acted upon</t>
    </r>
  </si>
  <si>
    <t xml:space="preserve">Ergo Assessment. Time Limitation/Freq Breaks, Job Rotation. </t>
  </si>
  <si>
    <t>Explosive Atmosphere</t>
  </si>
  <si>
    <t>The site evacuation plan (P&amp;S Plan Tab C) should be reviewed and communicated to all affected persons.  Spark control techniques, static free clothing and intrinsically safe tools and equipment must be used.</t>
  </si>
  <si>
    <t>Emergency Plan/Response, Certified Equipment, Interlock(s)</t>
  </si>
  <si>
    <t>Fire/Smoke</t>
  </si>
  <si>
    <t>The site evacuation plan (P&amp;S Plan Tab C) should be reviewed and communicated to all affected persons.</t>
  </si>
  <si>
    <t>Emergency Plan/Response, Fire Equipment, Safety Signs</t>
  </si>
  <si>
    <t xml:space="preserve">Hand &amp; Power Tools </t>
  </si>
  <si>
    <t>Only certified and appropriate tools shall be used by competent personnel. All tools shall be pre-use inspected to ensure safe condition and proper functionality, and defective tools shall be removed from service. Guards and safety features shall remain intact. Good housekeeping shall be maintained, and cables and hoses shall be organized to prevent trip hazards.</t>
  </si>
  <si>
    <t>Training/Competency, Correct Tooling, Certified Equipment, Pre-use inspection</t>
  </si>
  <si>
    <t>Hazardous Substances</t>
  </si>
  <si>
    <r>
      <rPr>
        <sz val="10"/>
        <color rgb="FF0070C0"/>
        <rFont val="Calibri"/>
        <family val="2"/>
        <scheme val="minor"/>
      </rPr>
      <t>Prior to applying any Chemical, review the MSDS’s to determine and fulfil the EHS precautions and PPE requirements. Suitable chemical resistant gloves shall be worn when handling chemicals. Ensure chemicals are properly labelled and stored when not in use</t>
    </r>
    <r>
      <rPr>
        <sz val="10"/>
        <rFont val="Calibri"/>
        <family val="2"/>
        <scheme val="minor"/>
      </rPr>
      <t xml:space="preserve">.  The chemical must be approved and on the chemical inventory  (P&amp;S Plan Tab L).  </t>
    </r>
    <r>
      <rPr>
        <u/>
        <sz val="10"/>
        <color theme="10"/>
        <rFont val="Calibri"/>
        <family val="2"/>
        <scheme val="minor"/>
      </rPr>
      <t xml:space="preserve"> IH TRA - IH07 Chemicals Risk Assessment should be in place, </t>
    </r>
    <r>
      <rPr>
        <sz val="10"/>
        <rFont val="Calibri"/>
        <family val="2"/>
        <scheme val="minor"/>
      </rPr>
      <t>communicated and acted upon</t>
    </r>
  </si>
  <si>
    <t xml:space="preserve">SDS (Safety Data Sheet), PPE,Chemical Risk assessment </t>
  </si>
  <si>
    <t>Health Risk (Chronic) HAVs / Vibration</t>
  </si>
  <si>
    <r>
      <t xml:space="preserve">Risks associated with hand-arm vibration from power tool use shall be identified and controlled. 
</t>
    </r>
    <r>
      <rPr>
        <sz val="10"/>
        <color theme="4"/>
        <rFont val="Montserrat"/>
      </rPr>
      <t>IH TRA - IH01</t>
    </r>
    <r>
      <rPr>
        <sz val="10"/>
        <color theme="1"/>
        <rFont val="Montserrat"/>
      </rPr>
      <t xml:space="preserve"> Vibration Risk Assessment should be in place, communicated and acted upon</t>
    </r>
  </si>
  <si>
    <t>Vibration Management, Low Vibration Tool, Personal Vibration Logging (e.g. Booklets)</t>
  </si>
  <si>
    <t>Heavy Metals</t>
  </si>
  <si>
    <r>
      <rPr>
        <sz val="10"/>
        <rFont val="Calibri"/>
        <family val="2"/>
        <scheme val="minor"/>
      </rPr>
      <t xml:space="preserve">Heavy Metals, dusts or fumes to be controlled and appropriate PPE &amp; RPE worn. </t>
    </r>
    <r>
      <rPr>
        <u/>
        <sz val="10"/>
        <color theme="10"/>
        <rFont val="Calibri"/>
        <family val="2"/>
        <scheme val="minor"/>
      </rPr>
      <t xml:space="preserve"> IH TRA - IH09 Heavy Metals Risk Assessment should be in place, </t>
    </r>
    <r>
      <rPr>
        <sz val="10"/>
        <rFont val="Calibri"/>
        <family val="2"/>
        <scheme val="minor"/>
      </rPr>
      <t>communicated and acted upon.  If any suspicious residue is observed (ex: Hexavalent Chromium) in a gas, steam &amp; Aero units or associated pipework STOP WORK and contact your manager and/or EHS representative for additional guidance and assistance</t>
    </r>
  </si>
  <si>
    <t>RPE-Respirator, PPE, SDS (Safety Data Sheet)</t>
  </si>
  <si>
    <t>Hot Surfaces</t>
  </si>
  <si>
    <t>Mark or isolate areas with hot pipes, equipment, or components to prevent accidental contact. Wear appropriate heat-resistant gloves and PPE when handling or working near hot surfaces. Allow equipment to cool down before maintenance or cleaning when possible. Use barriers, insulation, or guards to prevent burns in high-temperature areas. Inform the team of all identified hot spots and maintain clear access routes to avoid accidental contact.</t>
  </si>
  <si>
    <t xml:space="preserve">Cool Down </t>
  </si>
  <si>
    <r>
      <t xml:space="preserve">Hot Work - </t>
    </r>
    <r>
      <rPr>
        <sz val="10"/>
        <color rgb="FF0070C0"/>
        <rFont val="Montserrat"/>
      </rPr>
      <t xml:space="preserve">Fire and Explosion </t>
    </r>
  </si>
  <si>
    <t>Remove or protect all flammable and combustible materials within the work area. Ensure fire extinguishers, fire watch, and emergency response equipment are readily available. Use suitable fire-retardant screens or barriers to contain sparks and hot particles. Ensuring a Hot Work Permit (P&amp;S Plan Tab T) should be in place to support Hot Work Activities. And fully implemented</t>
  </si>
  <si>
    <t>Permits, Barrier/Shielding,  Fire Equipment, Housekeeping, Emergency Plan/Response</t>
  </si>
  <si>
    <t xml:space="preserve">Infra Red (IR) Radiation </t>
  </si>
  <si>
    <r>
      <rPr>
        <sz val="10"/>
        <color theme="1"/>
        <rFont val="Montserrat"/>
      </rPr>
      <t xml:space="preserve">Infra Red radiation PPE &amp; RPE worn especially to protect damage to the eyes while brazing and the general effects of heat stress. </t>
    </r>
    <r>
      <rPr>
        <sz val="10"/>
        <color theme="10"/>
        <rFont val="Montserrat"/>
      </rPr>
      <t xml:space="preserve">  </t>
    </r>
    <r>
      <rPr>
        <u/>
        <sz val="10"/>
        <color theme="4"/>
        <rFont val="Montserrat"/>
      </rPr>
      <t>IH TRA - IH09 Heavy Metalwork inc. Welding, Brazing, etc. &amp; IH TRA - IH03 Heat Stress Risk Assessment</t>
    </r>
    <r>
      <rPr>
        <sz val="10"/>
        <color theme="1"/>
        <rFont val="Montserrat"/>
      </rPr>
      <t xml:space="preserve"> should be in place, communicated and acted upon</t>
    </r>
  </si>
  <si>
    <t>RPE-Respirator, PPE, IH Risk Assessment Review</t>
  </si>
  <si>
    <t>Lasers</t>
  </si>
  <si>
    <t xml:space="preserve">Lasers must be used by trained technicians in strict accordance with Original Equipment Manufacturers instructions.  </t>
  </si>
  <si>
    <t>Training/Competency, Work Instruction, Certified Equipment</t>
  </si>
  <si>
    <t>Lighting Conditions</t>
  </si>
  <si>
    <t>Adequate lighting shall be provided to ensure safe work execution. Where natural lighting is insufficient, suitable temporary lighting shall be installed to eliminate poor visibility conditions.</t>
  </si>
  <si>
    <t>Lighting, Supervisory Oversight</t>
  </si>
  <si>
    <t xml:space="preserve">Live Electrical </t>
  </si>
  <si>
    <t xml:space="preserve"> If live electrical work cannot be avoided, any work above 50 V must be completed under GE Vernova Energized Electrical Work Permit (P&amp;S Plan – Tab W). Only qualified and authorized personnel shall perform live electrical tasks. Execute job safety planning for every electrical activity and ensure all controls are applied. Use shock- and arc-flash-rated PPE suitable for the voltage level and task. Verify all tools and equipment are insulated, voltage-rated, certified, and pre-use inspected prior to use. Ensure emergency response equipment is available, functional, and ready before starting work.
</t>
  </si>
  <si>
    <t>Training/Competency, Permits, Insulated Tools, Correct Tooling, Certified Equipment, Pre-use inspection, PPE</t>
  </si>
  <si>
    <t>Loose Debris</t>
  </si>
  <si>
    <t>Appropriate eye, face, and neck protection shall be selected and worn to prevent injury from flying or falling particles.</t>
  </si>
  <si>
    <t>PPE, Barrier/Shielding, Housekeeping.</t>
  </si>
  <si>
    <t>Machinery</t>
  </si>
  <si>
    <t>Ensure machine guards are in place, follow approved procedures, apply LOTO before maintenance.</t>
  </si>
  <si>
    <t>Trainned employees, LOTO, Safe distance</t>
  </si>
  <si>
    <t>Manual Handling (Ergonomics)</t>
  </si>
  <si>
    <r>
      <rPr>
        <sz val="10"/>
        <color rgb="FF0070C0"/>
        <rFont val="Calibri"/>
        <family val="2"/>
        <scheme val="minor"/>
      </rPr>
      <t>Keep the load close to the body, back straight, and use leg muscles when lifting. Do not carry heavy or awkward loads alone, use mechanical aids (e.g., hoists, trolleys) or team lifting when needed. Avoid bending, twisting, and reaching simultaneously. Plan the route before lifting, ensuring it is clear of obstacles and slip/trip hazards. Take regular breaks during repetitive handling tasks to prevent fatigue and strain</t>
    </r>
    <r>
      <rPr>
        <sz val="10"/>
        <rFont val="Calibri"/>
        <family val="2"/>
        <scheme val="minor"/>
      </rPr>
      <t xml:space="preserve">. </t>
    </r>
    <r>
      <rPr>
        <u/>
        <sz val="10"/>
        <color theme="10"/>
        <rFont val="Calibri"/>
        <family val="2"/>
        <scheme val="minor"/>
      </rPr>
      <t xml:space="preserve"> IH TRA - IH15  Ergonomics - Manual Handling Risk Assessment should be in place,</t>
    </r>
    <r>
      <rPr>
        <sz val="10"/>
        <rFont val="Calibri"/>
        <family val="2"/>
        <scheme val="minor"/>
      </rPr>
      <t xml:space="preserve"> communicated and acted upon</t>
    </r>
  </si>
  <si>
    <t>Lifting Aid, Manual Handling Technique, Teamwork (Multi-person)</t>
  </si>
  <si>
    <t xml:space="preserve">Mechanical Lifting </t>
  </si>
  <si>
    <t>Ensure a Lift Plan is in place and the Pre-Lift Safety Checklist (Tab V2) is completed and communicated before starting any lifting activity.
plan both lifting and load-laying, verify that all lifting devices and rigging gear are certified and inspected, and ensure operations are carried out only by authorised and competent operators or riggers.</t>
  </si>
  <si>
    <t>Lift Plan, Certified Equipment, Approach/Restriction Boundaries, Training/Competency.</t>
  </si>
  <si>
    <t>No Hazard</t>
  </si>
  <si>
    <t xml:space="preserve"> </t>
  </si>
  <si>
    <t>Noise</t>
  </si>
  <si>
    <r>
      <rPr>
        <sz val="10"/>
        <rFont val="Calibri"/>
        <family val="2"/>
        <scheme val="minor"/>
      </rPr>
      <t>Protective earwear should be selected to mitigate the risk where admin and engineering controls do not completely mitigate the risk</t>
    </r>
    <r>
      <rPr>
        <u/>
        <sz val="10"/>
        <color theme="10"/>
        <rFont val="Calibri"/>
        <family val="2"/>
        <scheme val="minor"/>
      </rPr>
      <t xml:space="preserve">.  IH TRA - IH02 Noise Risk Assessment should be in place, </t>
    </r>
    <r>
      <rPr>
        <sz val="10"/>
        <rFont val="Calibri"/>
        <family val="2"/>
        <scheme val="minor"/>
      </rPr>
      <t>communicated and acted upon</t>
    </r>
  </si>
  <si>
    <t>Hearing Protection</t>
  </si>
  <si>
    <t>Lack of appropriate Personal Protective Equipment (PPE)</t>
  </si>
  <si>
    <t>Ensure the correct type and size of PPE is selected for the specific task and environment. If PPE restricts vision, movement, or breathing, stop work and reassess controls. Use task-specific PPE designed for comfort and compatibility with other equipment (e.g., anti-fog visors, lightweight harnesses, ventilated suits). Take regular breaks when wearing heavy or heat-retaining PPE. Report any discomfort, skin irritation, or reduced task performance due to PPE, and seek alternatives approved by EHS. Never modify PPE unless authorized by the manufacturer or EHS specialist.</t>
  </si>
  <si>
    <t>PPE, Supervisory Oversight</t>
  </si>
  <si>
    <t>Pinch Points/Line of Fire</t>
  </si>
  <si>
    <t>Continuously apply peer checking, maintain safe hand and body placement, and establish exclusion zones wherever risks exist.
Keep hands and body parts away from rotating equipment, sharp objects, and pinch points, and secure all tools, equipment, power hoses, cables, and energy sources. Always wear suitable cut-resistant gloves to prevent injuries.</t>
  </si>
  <si>
    <t xml:space="preserve">Approach/Restriction Boundaries, Barrier/Shielding, Finger Protectors, Warning Signs, Peer checking </t>
  </si>
  <si>
    <t>Power Industrial Trucks</t>
  </si>
  <si>
    <t>Ensure the forklift type and capacity are suitable for the load and task. Only stable, secured loads shall be lifted or transported, and loads must be properly fixed to a pallet or unit-load base. Ensure defined traffic routes are marked and separated from pedestrians where possible. Operators must follow site speed limits and use the seat belt at all times. Forklifts must have functional safety features, including speed limiters and (where fitted) collision-avoidance systems.Confirm the Forklift has a valid inspection certificate and is pre-use inspected by the operator by using (P&amp;S Plan Tab Y).  Only trained operators using  authorized.</t>
  </si>
  <si>
    <t>Journey Management. Signaller /Banksman</t>
  </si>
  <si>
    <t>Pressurized Energy</t>
  </si>
  <si>
    <t>All pressurized equipment and systems should be pre-use inspected and where required certified before use.  Approach boundaries and guarding should be used for any pressurized testing - pressure test protocols must be prepared and signed-off by a qualified person.</t>
  </si>
  <si>
    <t>Approach/Restriction Boundaries,  Permits</t>
  </si>
  <si>
    <t>Radiation (Nuclear/Ionising)</t>
  </si>
  <si>
    <r>
      <rPr>
        <sz val="10"/>
        <rFont val="Calibri"/>
        <family val="2"/>
        <scheme val="minor"/>
      </rPr>
      <t>A radiation control plan should be in place, communicated and enforced for the duration of the radiation activity. Radiation zone entry control must be in place.</t>
    </r>
    <r>
      <rPr>
        <u/>
        <sz val="10"/>
        <color theme="10"/>
        <rFont val="Calibri"/>
        <family val="2"/>
        <scheme val="minor"/>
      </rPr>
      <t xml:space="preserve">  IH TRA - IH05 Radiation - Nuclear - Ionising Risk Assessment should be in place, </t>
    </r>
    <r>
      <rPr>
        <sz val="10"/>
        <rFont val="Calibri"/>
        <family val="2"/>
        <scheme val="minor"/>
      </rPr>
      <t>communicated and acted upon</t>
    </r>
  </si>
  <si>
    <t>Permits, Supervisory Oversight, Certified Equipment</t>
  </si>
  <si>
    <t>Releases to Air</t>
  </si>
  <si>
    <t>An environmental risk assessment should be considered for releases to air risk</t>
  </si>
  <si>
    <t>Releases to Land</t>
  </si>
  <si>
    <t>An environmental risk assessment should be considered for releases to land risk</t>
  </si>
  <si>
    <t>Containment Bunds, Waste Plan</t>
  </si>
  <si>
    <t>Releases to Water</t>
  </si>
  <si>
    <t>An environmental risk assessment should be considered for releases to water risk</t>
  </si>
  <si>
    <t>Spill Prevention Kits, Containment Bunds</t>
  </si>
  <si>
    <t>Sharp objects</t>
  </si>
  <si>
    <t>Appropriate cut-resistant PPE shall be selected in accordance with the PPE Matrix (P&amp;S Plan Tab EE).</t>
  </si>
  <si>
    <t>PPE Gloves, Finger Protectors, Sharp Edge Padding</t>
  </si>
  <si>
    <t>Stress</t>
  </si>
  <si>
    <r>
      <rPr>
        <sz val="10"/>
        <rFont val="Calibri"/>
        <family val="2"/>
        <scheme val="minor"/>
      </rPr>
      <t>Stop Work and raise concern for Stress inducing activities/situations</t>
    </r>
    <r>
      <rPr>
        <u/>
        <sz val="10"/>
        <color theme="10"/>
        <rFont val="Calibri"/>
        <family val="2"/>
        <scheme val="minor"/>
      </rPr>
      <t>.  IH - IH11 Stress &amp; Psychological Risk Assessment should be in place,</t>
    </r>
    <r>
      <rPr>
        <sz val="10"/>
        <rFont val="Calibri"/>
        <family val="2"/>
        <scheme val="minor"/>
      </rPr>
      <t xml:space="preserve"> communicated and acted upon as applicable.</t>
    </r>
  </si>
  <si>
    <t>Supervisory Oversight</t>
  </si>
  <si>
    <t>Thermal Stress</t>
  </si>
  <si>
    <r>
      <t xml:space="preserve"> IH TRA - IH03 Heat Stress Risk Assessment or IH - IH04 Cold Stress Risk Assessment should be in place, </t>
    </r>
    <r>
      <rPr>
        <sz val="10"/>
        <rFont val="Calibri"/>
        <family val="2"/>
        <scheme val="minor"/>
      </rPr>
      <t>communicated and acted upon as applicable.</t>
    </r>
  </si>
  <si>
    <t xml:space="preserve"> Weather Monitoring (Temperature and Humidity), Work Schedules</t>
  </si>
  <si>
    <t>Transport</t>
  </si>
  <si>
    <r>
      <rPr>
        <sz val="10"/>
        <rFont val="Calibri"/>
        <family val="2"/>
        <scheme val="minor"/>
      </rPr>
      <t>Journey Management Planning in place to mitigate risk.</t>
    </r>
    <r>
      <rPr>
        <u/>
        <sz val="10"/>
        <color theme="10"/>
        <rFont val="Calibri"/>
        <family val="2"/>
        <scheme val="minor"/>
      </rPr>
      <t xml:space="preserve"> IH TRA - IH10 Fatigue Management Assessment should be in place, </t>
    </r>
    <r>
      <rPr>
        <sz val="10"/>
        <rFont val="Calibri"/>
        <family val="2"/>
        <scheme val="minor"/>
      </rPr>
      <t>communicated and acted upon as applicable.  Use of Spotter/Bank person should considered when using Powered Industrial Vehicles.</t>
    </r>
  </si>
  <si>
    <t>Stop Work, IH Risk Assessment Review, Supervisory Oversight</t>
  </si>
  <si>
    <t>Unplanned work scope</t>
  </si>
  <si>
    <t>STOP Work and re-evaluate TRA's to ensure work scope deviation hazards are understood and mitigated..</t>
  </si>
  <si>
    <t>Use of Energy</t>
  </si>
  <si>
    <t>Ensure energy waste in minimized by shutting down equipment energy when not in use or using more energy efficient equipment.</t>
  </si>
  <si>
    <t>Maintenance, Equipment Selection, Work Instruction</t>
  </si>
  <si>
    <t>Use of Tooling</t>
  </si>
  <si>
    <t>Correct Tooling and Tool holders should be in place and used by competent technicians.  Modified tools must be approved by engineering and all tools must be subject to pre-use inspection to ensure they are safe for use.</t>
  </si>
  <si>
    <t>Correct Tooling, Pre-use inspection, Training/Competency</t>
  </si>
  <si>
    <t>UV Radiation (non-ionising)</t>
  </si>
  <si>
    <r>
      <t xml:space="preserve">IH TRA - IH06 EMF Radiation - Non- Ionising Risk Assessment should be in place, </t>
    </r>
    <r>
      <rPr>
        <sz val="10"/>
        <rFont val="Calibri"/>
        <family val="2"/>
        <scheme val="minor"/>
      </rPr>
      <t xml:space="preserve">communicated and acted upon.  Use Sunscreen, shielding , and PPE (long sleeves, wide brimmed hats, uv resistant sunglasses/glasses </t>
    </r>
  </si>
  <si>
    <t>PPE, Barrier/Shielding, IH Risk Assessment Review</t>
  </si>
  <si>
    <t>Walking/Working Surface</t>
  </si>
  <si>
    <t>Maintain high housekeeping standards at all times, ensuring work areas are clean, organized, and free of obstructions.
Cover all large horizontal openings with solid and stable materials, and continuously monitor site conditions to prevent slips, trips, and falls.</t>
  </si>
  <si>
    <t>Housekeeping, Supervisory Oversight</t>
  </si>
  <si>
    <t>Waste Generation</t>
  </si>
  <si>
    <t xml:space="preserve"> Segregate waste at the source into hazardous, non-hazardous, and general waste according to site requirements. Store waste in clearly labeled, suitable containers to prevent spills, leaks, or cross-contamination. Ensure prompt removal and proper disposal through approved waste-management vendors. Do not mix incompatible wastes.Report any accidental release, leak, or spill immediately and follow site emergency procedures.</t>
  </si>
  <si>
    <t>Waste Plan, Spill Prevention Kits, Supervisory Oversight</t>
  </si>
  <si>
    <t>Weather</t>
  </si>
  <si>
    <t xml:space="preserve"> Only contractors qualified and approved through the ComplyWorks Contractor Management Program shall be permitted to perform work. Ensure appropriate oversight of contractor activities and inform all affected employees of the work being performed in or around their areas.</t>
  </si>
  <si>
    <t>Weather Monitoring (Temperature and Humidity), Wind Speed Monitor, Supervisory Oversight</t>
  </si>
  <si>
    <t>Welding (inc Cutting, brazing, gouging, grinding etc.)</t>
  </si>
  <si>
    <r>
      <rPr>
        <sz val="10"/>
        <rFont val="Calibri"/>
        <family val="2"/>
        <scheme val="minor"/>
      </rPr>
      <t xml:space="preserve">Welding Management plan should be in place to limit exposure to fumes and dust. </t>
    </r>
    <r>
      <rPr>
        <u/>
        <sz val="10"/>
        <color theme="10"/>
        <rFont val="Calibri"/>
        <family val="2"/>
        <scheme val="minor"/>
      </rPr>
      <t xml:space="preserve">  IH TRA - IH09 Heavy Metalwork inc. Welding, Brazing, etc. Risk Assessment should be in place, </t>
    </r>
    <r>
      <rPr>
        <sz val="10"/>
        <rFont val="Calibri"/>
        <family val="2"/>
        <scheme val="minor"/>
      </rPr>
      <t>communicated and acted upon</t>
    </r>
  </si>
  <si>
    <t>RPE-Respirator, Ventilation / LEV, PPE</t>
  </si>
  <si>
    <t>Work at Height</t>
  </si>
  <si>
    <t>Ensure all scaffolds and elevated work platforms are certified and inspected before use. Use personal fall protection equipment with 100% tie-off to a secure anchorage at all times. Ensure tools and materials are properly secured to prevent dropped objects. Conduct a pre-use inspection of harnesses, lanyards, and anchor points. Maintain clear exclusion zones below work areas, and avoid working directly above other personnel.</t>
  </si>
  <si>
    <t>Fall Arrest, Pre-use inspection, Approach/Restriction Boundaries</t>
  </si>
  <si>
    <t xml:space="preserve">Work Authorization </t>
  </si>
  <si>
    <t>Confirm proper authorization prior to beginning work. Ensuring all permits to work are valid, communicated, and clearly understood by the team. Verify that you are qualified and authorized to perform the task. Inform all affected personnel of the work plan, risks, and required controls before starting. Use safety devices correctly and only bypass or override them with proper authorization. Reassess and stop work immediately if conditions change or new hazards are identified.</t>
  </si>
  <si>
    <t>Permits, Supervisory Oversight, Training/Competency</t>
  </si>
  <si>
    <t>Alarm</t>
  </si>
  <si>
    <t>Alternate Work Methods</t>
  </si>
  <si>
    <t>Approach/Restriction Boundaries</t>
  </si>
  <si>
    <t>Automate/Eliminate</t>
  </si>
  <si>
    <t>Barrier/Shielding</t>
  </si>
  <si>
    <t>Business Continuity Plan</t>
  </si>
  <si>
    <t>Buy Quiet Tool Purchasing policy (Lower noise tools)</t>
  </si>
  <si>
    <t>Certified Equipment</t>
  </si>
  <si>
    <t xml:space="preserve">Chemical Approval Process </t>
  </si>
  <si>
    <t>Chemical Management Program</t>
  </si>
  <si>
    <t xml:space="preserve">Chemical Risk Assessment </t>
  </si>
  <si>
    <t xml:space="preserve">Chemical Storage </t>
  </si>
  <si>
    <t>Communication</t>
  </si>
  <si>
    <t>Concern Report</t>
  </si>
  <si>
    <t>Containment Bunds</t>
  </si>
  <si>
    <t>Cooldown/Rest Area</t>
  </si>
  <si>
    <t xml:space="preserve">Correct Labelling </t>
  </si>
  <si>
    <t>Correct Tooling</t>
  </si>
  <si>
    <t>Dead Man Switch</t>
  </si>
  <si>
    <t>Designated Storage/Laydown</t>
  </si>
  <si>
    <t>Double Hearing Protection (Muffs + Plugs)</t>
  </si>
  <si>
    <t>Ear Muffs</t>
  </si>
  <si>
    <t xml:space="preserve">Ear Plugs </t>
  </si>
  <si>
    <t>Electrical Protection Device</t>
  </si>
  <si>
    <t>Elevated Work Platform</t>
  </si>
  <si>
    <t xml:space="preserve">Eliminate </t>
  </si>
  <si>
    <t>Emergency Plan/Response</t>
  </si>
  <si>
    <t>Emergency Stop Button</t>
  </si>
  <si>
    <t>Emission Monitoring</t>
  </si>
  <si>
    <t>Equipment Selection</t>
  </si>
  <si>
    <t>Ergo Assessment</t>
  </si>
  <si>
    <t>Fall Arrest</t>
  </si>
  <si>
    <t>Finger Protectors</t>
  </si>
  <si>
    <t>Fire Equipment</t>
  </si>
  <si>
    <t>Fitness for Duty</t>
  </si>
  <si>
    <t>Gas Detectors</t>
  </si>
  <si>
    <t>Guarding</t>
  </si>
  <si>
    <t>Health Surveillance</t>
  </si>
  <si>
    <t xml:space="preserve">Health Surveillance - Skin Surveillance </t>
  </si>
  <si>
    <t>Hearing Protection/Ear Defenders</t>
  </si>
  <si>
    <t xml:space="preserve">Housekeeping - Chemicals </t>
  </si>
  <si>
    <t xml:space="preserve">Housekeeping Program </t>
  </si>
  <si>
    <t>Hydration Program</t>
  </si>
  <si>
    <t>Industrial Hygiene Program</t>
  </si>
  <si>
    <t>Insulated Tools</t>
  </si>
  <si>
    <t>Interlock(s)</t>
  </si>
  <si>
    <t>Job Rotation</t>
  </si>
  <si>
    <t>Journey Management</t>
  </si>
  <si>
    <t>Laydown Planning</t>
  </si>
  <si>
    <t>LEV</t>
  </si>
  <si>
    <t>Life Vest</t>
  </si>
  <si>
    <t>Lift Plan</t>
  </si>
  <si>
    <t>Lifting Aid</t>
  </si>
  <si>
    <t>Lighting</t>
  </si>
  <si>
    <t>LOTO</t>
  </si>
  <si>
    <t>Low Vibration Purchasing Policy</t>
  </si>
  <si>
    <t>Low Vibration Tool</t>
  </si>
  <si>
    <t>Maintenance</t>
  </si>
  <si>
    <t>Management of Change</t>
  </si>
  <si>
    <t>Manual Handling Technique</t>
  </si>
  <si>
    <t xml:space="preserve">Noise Assessment </t>
  </si>
  <si>
    <t xml:space="preserve">Noise Dampening Material </t>
  </si>
  <si>
    <t xml:space="preserve">Noise Monitoring </t>
  </si>
  <si>
    <t>Noise Refuge / Booth</t>
  </si>
  <si>
    <t>Oil Separators</t>
  </si>
  <si>
    <t xml:space="preserve">Padding (Edge &amp; Floor) </t>
  </si>
  <si>
    <t>Peer checking</t>
  </si>
  <si>
    <t>Permits</t>
  </si>
  <si>
    <t>Personal Vibration Logging (e.g. Booklets)</t>
  </si>
  <si>
    <t xml:space="preserve">Physiotherapy and rehabilitation Program </t>
  </si>
  <si>
    <t>Physical Fitness Program</t>
  </si>
  <si>
    <t>POWGA  (Grinding)</t>
  </si>
  <si>
    <t>PPE</t>
  </si>
  <si>
    <t>PPE Gloves</t>
  </si>
  <si>
    <t>Pre-lift checklist</t>
  </si>
  <si>
    <t>Pre-use inspection</t>
  </si>
  <si>
    <t>Preventative Maintenance</t>
  </si>
  <si>
    <t>Qualified Third Party</t>
  </si>
  <si>
    <t>Reduce Weight (Split Load/divide)</t>
  </si>
  <si>
    <t>Rest &amp; Recovery</t>
  </si>
  <si>
    <t>Risk Assessment</t>
  </si>
  <si>
    <t xml:space="preserve">Risk Assessment Review </t>
  </si>
  <si>
    <t>Robot/Drone</t>
  </si>
  <si>
    <t>RPE-Respirator</t>
  </si>
  <si>
    <t>Safety Relief Valve</t>
  </si>
  <si>
    <t>Safety Signs</t>
  </si>
  <si>
    <t>SDS (Safety Data Sheet)</t>
  </si>
  <si>
    <t>Security Plan</t>
  </si>
  <si>
    <t>Sentry (attendant)</t>
  </si>
  <si>
    <t>Sharp Edge Padding</t>
  </si>
  <si>
    <t>Spill Prevention Kits</t>
  </si>
  <si>
    <t>Stop Work</t>
  </si>
  <si>
    <t>Stretching</t>
  </si>
  <si>
    <t>Substitution</t>
  </si>
  <si>
    <t>SWAT</t>
  </si>
  <si>
    <t>Teamwork (Multi-person)</t>
  </si>
  <si>
    <t>Time Limitation/Freq Breaks</t>
  </si>
  <si>
    <t>Tool Bag/Belt/Holder</t>
  </si>
  <si>
    <t>Tool Tagging</t>
  </si>
  <si>
    <t>Training/Competency</t>
  </si>
  <si>
    <t>Vaccination</t>
  </si>
  <si>
    <t>Ventilation / LEV (Local Exhaust Extraction)</t>
  </si>
  <si>
    <t>Vibration Management</t>
  </si>
  <si>
    <t>Waste Management Plan</t>
  </si>
  <si>
    <t>Wearable sensor</t>
  </si>
  <si>
    <t>Weather Monitoring (Temperature and Humidity)</t>
  </si>
  <si>
    <t>Wind Speed Monitor</t>
  </si>
  <si>
    <t>Work Instruction</t>
  </si>
  <si>
    <t xml:space="preserve">Work Schedules </t>
  </si>
  <si>
    <t>GE Event Level Definitions</t>
  </si>
  <si>
    <t xml:space="preserve">        Severity
Frequency</t>
  </si>
  <si>
    <t>Minor 
(Level D)</t>
  </si>
  <si>
    <t>Significant
(Level C)</t>
  </si>
  <si>
    <t>Severe
(Level B)</t>
  </si>
  <si>
    <t>Major
(Level A)</t>
  </si>
  <si>
    <t>Risk Rating &amp; Strategy</t>
  </si>
  <si>
    <t>Action Required
-  Risk Register</t>
  </si>
  <si>
    <t>Action Required
- Task Risk Assessment</t>
  </si>
  <si>
    <r>
      <t xml:space="preserve">S1 </t>
    </r>
    <r>
      <rPr>
        <sz val="11"/>
        <color theme="1"/>
        <rFont val="Calibri"/>
        <family val="2"/>
        <scheme val="minor"/>
      </rPr>
      <t>Minor</t>
    </r>
  </si>
  <si>
    <r>
      <t xml:space="preserve">S2 </t>
    </r>
    <r>
      <rPr>
        <sz val="11"/>
        <color theme="1"/>
        <rFont val="Calibri"/>
        <family val="2"/>
        <scheme val="minor"/>
      </rPr>
      <t>Moderate</t>
    </r>
  </si>
  <si>
    <r>
      <t xml:space="preserve">S3 </t>
    </r>
    <r>
      <rPr>
        <sz val="11"/>
        <color theme="1"/>
        <rFont val="Calibri"/>
        <family val="2"/>
        <scheme val="minor"/>
      </rPr>
      <t>Significant</t>
    </r>
  </si>
  <si>
    <r>
      <t xml:space="preserve">S4 </t>
    </r>
    <r>
      <rPr>
        <sz val="11"/>
        <color theme="1"/>
        <rFont val="Calibri"/>
        <family val="2"/>
        <scheme val="minor"/>
      </rPr>
      <t>Severe</t>
    </r>
  </si>
  <si>
    <r>
      <t xml:space="preserve">S5 </t>
    </r>
    <r>
      <rPr>
        <sz val="11"/>
        <color theme="1"/>
        <rFont val="Calibri"/>
        <family val="2"/>
        <scheme val="minor"/>
      </rPr>
      <t>Major</t>
    </r>
  </si>
  <si>
    <t>1-3</t>
  </si>
  <si>
    <t>Low                      
(Supervisory Strategy)</t>
  </si>
  <si>
    <r>
      <rPr>
        <b/>
        <sz val="11"/>
        <color theme="1"/>
        <rFont val="Calibri"/>
        <family val="2"/>
        <scheme val="minor"/>
      </rPr>
      <t xml:space="preserve">Accept Risk </t>
    </r>
    <r>
      <rPr>
        <sz val="11"/>
        <rFont val="Calibri"/>
        <family val="2"/>
        <scheme val="minor"/>
      </rPr>
      <t xml:space="preserve">                                                      
Manage and maintain defenses and procedures</t>
    </r>
  </si>
  <si>
    <r>
      <rPr>
        <b/>
        <sz val="11"/>
        <color theme="1"/>
        <rFont val="Calibri"/>
        <family val="2"/>
        <scheme val="minor"/>
      </rPr>
      <t xml:space="preserve">Accept Risk </t>
    </r>
    <r>
      <rPr>
        <sz val="11"/>
        <rFont val="Calibri"/>
        <family val="2"/>
        <scheme val="minor"/>
      </rPr>
      <t xml:space="preserve">                                                                    
Manage and maintain defenses and procedures</t>
    </r>
  </si>
  <si>
    <r>
      <rPr>
        <b/>
        <sz val="12"/>
        <color theme="1"/>
        <rFont val="Calibri"/>
        <family val="2"/>
        <scheme val="minor"/>
      </rPr>
      <t xml:space="preserve">            F5</t>
    </r>
    <r>
      <rPr>
        <b/>
        <sz val="11"/>
        <color theme="1"/>
        <rFont val="Calibri"/>
        <family val="2"/>
        <scheme val="minor"/>
      </rPr>
      <t xml:space="preserve">                            </t>
    </r>
    <r>
      <rPr>
        <sz val="11"/>
        <color theme="1"/>
        <rFont val="Calibri"/>
        <family val="2"/>
        <scheme val="minor"/>
      </rPr>
      <t>Monthly</t>
    </r>
  </si>
  <si>
    <t>4-5</t>
  </si>
  <si>
    <t>Medium                
(Control Strategy)</t>
  </si>
  <si>
    <r>
      <rPr>
        <b/>
        <sz val="11"/>
        <color theme="1"/>
        <rFont val="Calibri"/>
        <family val="2"/>
        <scheme val="minor"/>
      </rPr>
      <t>HQ Action Required</t>
    </r>
    <r>
      <rPr>
        <sz val="11"/>
        <rFont val="Calibri"/>
        <family val="2"/>
        <scheme val="minor"/>
      </rPr>
      <t xml:space="preserve">                                
SMART actions developed to reduce risk level</t>
    </r>
  </si>
  <si>
    <r>
      <rPr>
        <b/>
        <sz val="11"/>
        <color theme="1"/>
        <rFont val="Calibri"/>
        <family val="2"/>
        <scheme val="minor"/>
      </rPr>
      <t xml:space="preserve"> STOP! Action Required</t>
    </r>
    <r>
      <rPr>
        <sz val="11"/>
        <rFont val="Calibri"/>
        <family val="2"/>
        <scheme val="minor"/>
      </rPr>
      <t xml:space="preserve">                              
Additional defenses are required to reduce the risk to an acceptable low level</t>
    </r>
  </si>
  <si>
    <r>
      <rPr>
        <b/>
        <sz val="12"/>
        <color theme="1"/>
        <rFont val="Calibri"/>
        <family val="2"/>
        <scheme val="minor"/>
      </rPr>
      <t xml:space="preserve">            F4    </t>
    </r>
    <r>
      <rPr>
        <b/>
        <sz val="11"/>
        <color theme="1"/>
        <rFont val="Calibri"/>
        <family val="2"/>
        <scheme val="minor"/>
      </rPr>
      <t xml:space="preserve">                         </t>
    </r>
    <r>
      <rPr>
        <sz val="11"/>
        <color theme="1"/>
        <rFont val="Calibri"/>
        <family val="2"/>
        <scheme val="minor"/>
      </rPr>
      <t>Quarterly</t>
    </r>
  </si>
  <si>
    <t>&gt;5</t>
  </si>
  <si>
    <t>High
(Critical Step)*    
(Intervention Strategy)</t>
  </si>
  <si>
    <r>
      <rPr>
        <b/>
        <sz val="11"/>
        <color theme="1"/>
        <rFont val="Calibri"/>
        <family val="2"/>
        <scheme val="minor"/>
      </rPr>
      <t xml:space="preserve">HQ Action Required       </t>
    </r>
    <r>
      <rPr>
        <sz val="11"/>
        <rFont val="Calibri"/>
        <family val="2"/>
        <scheme val="minor"/>
      </rPr>
      <t xml:space="preserve">                                        
Risk Reduction Project required and 3 month action plan developed to reduce risk level.  Input to Strategic Blueprint review</t>
    </r>
  </si>
  <si>
    <r>
      <rPr>
        <b/>
        <sz val="11"/>
        <color theme="1"/>
        <rFont val="Calibri"/>
        <family val="2"/>
        <scheme val="minor"/>
      </rPr>
      <t xml:space="preserve">STOP!!  Action Required       </t>
    </r>
    <r>
      <rPr>
        <sz val="11"/>
        <rFont val="Calibri"/>
        <family val="2"/>
        <scheme val="minor"/>
      </rPr>
      <t xml:space="preserve">                           
Additional defenses are required (in addition to PPE) to reduce the risk to an acceptable low level.  
Consult with FieldCore EHS.</t>
    </r>
  </si>
  <si>
    <r>
      <rPr>
        <b/>
        <sz val="12"/>
        <color theme="1"/>
        <rFont val="Calibri"/>
        <family val="2"/>
        <scheme val="minor"/>
      </rPr>
      <t xml:space="preserve">           F3  </t>
    </r>
    <r>
      <rPr>
        <b/>
        <sz val="11"/>
        <color theme="1"/>
        <rFont val="Calibri"/>
        <family val="2"/>
        <scheme val="minor"/>
      </rPr>
      <t xml:space="preserve">                          </t>
    </r>
    <r>
      <rPr>
        <sz val="11"/>
        <color theme="1"/>
        <rFont val="Calibri"/>
        <family val="2"/>
        <scheme val="minor"/>
      </rPr>
      <t>Annually</t>
    </r>
  </si>
  <si>
    <t xml:space="preserve">
*Any hazard where failure of the defence(s) could result in a catastrophic event</t>
  </si>
  <si>
    <r>
      <rPr>
        <b/>
        <sz val="12"/>
        <color theme="1"/>
        <rFont val="Calibri"/>
        <family val="2"/>
        <scheme val="minor"/>
      </rPr>
      <t xml:space="preserve">          F2  </t>
    </r>
    <r>
      <rPr>
        <b/>
        <sz val="11"/>
        <color theme="1"/>
        <rFont val="Calibri"/>
        <family val="2"/>
        <scheme val="minor"/>
      </rPr>
      <t xml:space="preserve">                                     </t>
    </r>
    <r>
      <rPr>
        <sz val="11"/>
        <color theme="1"/>
        <rFont val="Calibri"/>
        <family val="2"/>
        <scheme val="minor"/>
      </rPr>
      <t>Bi-Annually</t>
    </r>
  </si>
  <si>
    <r>
      <rPr>
        <b/>
        <sz val="12"/>
        <color theme="1"/>
        <rFont val="Calibri"/>
        <family val="2"/>
        <scheme val="minor"/>
      </rPr>
      <t xml:space="preserve">         F1   </t>
    </r>
    <r>
      <rPr>
        <b/>
        <sz val="11"/>
        <color theme="1"/>
        <rFont val="Calibri"/>
        <family val="2"/>
        <scheme val="minor"/>
      </rPr>
      <t xml:space="preserve">          </t>
    </r>
    <r>
      <rPr>
        <sz val="11"/>
        <color theme="1"/>
        <rFont val="Calibri"/>
        <family val="2"/>
        <scheme val="minor"/>
      </rPr>
      <t xml:space="preserve">   More than 
every 2 years</t>
    </r>
  </si>
  <si>
    <t>GE Event Level</t>
  </si>
  <si>
    <t>FieldCore
Severity 
Level</t>
  </si>
  <si>
    <t>Accident</t>
  </si>
  <si>
    <t>Occupational Illness</t>
  </si>
  <si>
    <t>Environment</t>
  </si>
  <si>
    <t>Damage</t>
  </si>
  <si>
    <t>Security</t>
  </si>
  <si>
    <t>Major 
(Level A)</t>
  </si>
  <si>
    <t>Fatality</t>
  </si>
  <si>
    <t>Life threatening illness
A very serious illness contracted at work that might result death</t>
  </si>
  <si>
    <t>An Incident that affects the community or environment beyond FieldCore or GE’s fence-line, interrupts public services, or triggers community protective measures such as sheltering in-place.</t>
  </si>
  <si>
    <t xml:space="preserve">Over $1,000,000 (Direct &amp; Indirect Costs)
Extensive damage (multiple fires / explosions) or loss of installation / facilities.
</t>
  </si>
  <si>
    <t>Major community disruption
Attacks, violent labor unrest, destruction of critical equipment, murder, hijacking, kidnapping, piracy, blacklisted by authorities
Complete disruption of security systems</t>
  </si>
  <si>
    <t>Serious Lost Time Injury / Partial or total permanent disability</t>
  </si>
  <si>
    <t>Serious chronic illness of employee resulting in partial or total permanent disability.</t>
  </si>
  <si>
    <t xml:space="preserve">Missing permit 
Multiple environmental permit exceedances from a single event
Spill or release that triggers reporting requirements and travels outside FieldCore or GE property.
Externally identified violation of waste disposal or hazmat shipping regulations.
</t>
  </si>
  <si>
    <t>More than $250,000 less than $1,000,000 (Direct &amp; Indirect Costs).
Damage extending to several areas / significant impairment of installation / facilities / equipment integrity
Events such as fires and explosions that require response from an outside organization</t>
  </si>
  <si>
    <t>Severe community disruption
Security threats: protests which stop work, demonstrations which can turn violent, stop of work, fraud, corruption
Significant damage to security systems</t>
  </si>
  <si>
    <t>Lost Time Injury (LTI) / Partial or total temporary disability</t>
  </si>
  <si>
    <t>Illness resulting in sick leave and requiring medical treatment and/or recurrent illness 
Illness resulting in temporally work restriction and/or resulting in change of work</t>
  </si>
  <si>
    <t xml:space="preserve">Single permit exceedance 
Failure to file regulatorily-required report 
Spill or release that triggers reporting requirements but remains on FieldCore or GE property.
Self-identified violation of waste disposal or hazmat shipping regulations.
Customer reportable spill or release
Nuisance event where regulations require neighbors beyond site boundary to be notified or short-term regulatory permission to be obtained (e.g. noise / odor / dust)
</t>
  </si>
  <si>
    <t>More than $100,000, less than $250,000 (Direct &amp; Indirect Costs).
Significant damage to local area or essential plant &amp; equipment</t>
  </si>
  <si>
    <t>Significant community disruption
Protests which partially stop work, blackmail, major fight, significant theft
Limited capacity to carry out emergency communication,  significant damage to security systems</t>
  </si>
  <si>
    <t>Medical Treatment / Restricted Work Injury</t>
  </si>
  <si>
    <t>Any disorder or illness which has short term impact on the tasks of the employee requiring medical treatment beyond first aid.</t>
  </si>
  <si>
    <t xml:space="preserve">Spill or release that does not trigger reporting limits.
Non-reportable spill / release on customer property. 
Nuisance event where regulations do not require neighbors beyond site boundary to be notified or short-term regulatory permission to be obtained (e.g. noise / odor / dust)                                                                                                                   Uncontrolled use of energy (waste)
</t>
  </si>
  <si>
    <t>More than $10,000 less than $100,000            (Direct &amp; Indirect Costs).
Limited damage to plant &amp; equipment</t>
  </si>
  <si>
    <t>Minor community disruption
Limited security issues (e.g. small fights, minor thefts, minor interruption of network
Limited impact on security systems</t>
  </si>
  <si>
    <t>Minor
(Level D)</t>
  </si>
  <si>
    <t>First Aid Injury</t>
  </si>
  <si>
    <t>Minor short term ailment.
Any disorder or illness which has no impact or very short term impact on the tasks of the employee – with no medical treatment</t>
  </si>
  <si>
    <t>Spill or release that is caught by secondary containment (e.g. a spill that is contained in the package, bund or turbine enclosure) generating unexpected hazardous waste for disposal</t>
  </si>
  <si>
    <t>Less than $10,000 (Direct &amp; Indirect Costs)
Insignificant damage to plant and/or equipment</t>
  </si>
  <si>
    <t>No social or security issues</t>
  </si>
  <si>
    <t>Risk Calculator</t>
  </si>
  <si>
    <t>Hazard</t>
  </si>
  <si>
    <t>Potential Risk</t>
  </si>
  <si>
    <t>Hazard One</t>
  </si>
  <si>
    <t>Hazard Two</t>
  </si>
  <si>
    <t>Hazard Three</t>
  </si>
  <si>
    <t>Hazard Four</t>
  </si>
  <si>
    <t>Potential Risk Guidance</t>
  </si>
  <si>
    <t>Comments Guidance</t>
  </si>
  <si>
    <t>Note:</t>
  </si>
  <si>
    <t>The TRA and Risk Matrix are the key elements of this template and are subject to document control.  The additional guidance tabs and "in-form" drop downs are intended to support and facilitate preparation if the risk assessments.  However this guidance etc. is subject ongoing improvement and may be updated from time to time and so there may be some variation in this content in live working documents in the field.  This variation is acceptable but the entire template will be periodically updated and re-issued to consolidate and reflect the best practice and lessons learnt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</si>
</sst>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numFmt numFmtId="165" formatCode="0.0"/>
    <numFmt numFmtId="166" formatCode="[$-409]mmmm\ d\,\ yyyy;@"/>
    <numFmt numFmtId="167" formatCode="[$-409]d\-mmm\-yyyy;@"/>
  </numFmts>
  <fonts count="58">
    <font>
      <sz val="11"/>
      <color theme="1"/>
      <name val="Calibri"/>
      <family val="2"/>
      <scheme val="minor"/>
    </font>
    <font>
      <sz val="8"/>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4"/>
      <color theme="0"/>
      <name val="Calibri"/>
      <family val="2"/>
      <scheme val="minor"/>
    </font>
    <font>
      <b/>
      <sz val="16"/>
      <color theme="0"/>
      <name val="Calibri"/>
      <family val="2"/>
      <scheme val="minor"/>
    </font>
    <font>
      <b/>
      <sz val="12"/>
      <color theme="1"/>
      <name val="Calibri"/>
      <family val="2"/>
      <scheme val="minor"/>
    </font>
    <font>
      <sz val="16"/>
      <color theme="0"/>
      <name val="Calibri"/>
      <family val="2"/>
      <scheme val="minor"/>
    </font>
    <font>
      <i/>
      <sz val="10"/>
      <color theme="1"/>
      <name val="Calibri"/>
      <family val="2"/>
      <scheme val="minor"/>
    </font>
    <font>
      <sz val="11"/>
      <name val="Calibri"/>
      <family val="2"/>
      <scheme val="minor"/>
    </font>
    <font>
      <b/>
      <sz val="14"/>
      <color theme="0"/>
      <name val="Calibri"/>
      <family val="2"/>
      <scheme val="minor"/>
    </font>
    <font>
      <i/>
      <sz val="10"/>
      <color theme="0" tint="-0.499984740745262"/>
      <name val="Calibri"/>
      <family val="2"/>
      <scheme val="minor"/>
    </font>
    <font>
      <sz val="10"/>
      <name val="Times New Roman"/>
      <family val="1"/>
    </font>
    <font>
      <sz val="10"/>
      <name val="Gotham Rounded Book"/>
      <family val="3"/>
    </font>
    <font>
      <b/>
      <u/>
      <sz val="10"/>
      <name val="Gotham Rounded Book"/>
      <family val="3"/>
    </font>
    <font>
      <sz val="8"/>
      <name val="Calibri"/>
      <family val="2"/>
      <scheme val="minor"/>
    </font>
    <font>
      <sz val="5"/>
      <color theme="1"/>
      <name val="Montserrat"/>
    </font>
    <font>
      <sz val="10"/>
      <color theme="1"/>
      <name val="Montserrat SemiBold"/>
    </font>
    <font>
      <sz val="12"/>
      <color theme="1"/>
      <name val="Montserrat SemiBold"/>
    </font>
    <font>
      <sz val="8"/>
      <color theme="1"/>
      <name val="Montserrat SemiBold"/>
    </font>
    <font>
      <sz val="7"/>
      <color theme="1"/>
      <name val="Montserrat SemiBold"/>
    </font>
    <font>
      <sz val="7"/>
      <color theme="0"/>
      <name val="Montserrat"/>
    </font>
    <font>
      <sz val="7"/>
      <color theme="1"/>
      <name val="Montserrat"/>
    </font>
    <font>
      <sz val="6"/>
      <color theme="1"/>
      <name val="Montserrat"/>
    </font>
    <font>
      <sz val="6"/>
      <color theme="0"/>
      <name val="Montserrat"/>
    </font>
    <font>
      <sz val="6"/>
      <color theme="1"/>
      <name val="Montserrat SemiBold"/>
    </font>
    <font>
      <sz val="11"/>
      <color theme="1"/>
      <name val="Montserrat SemiBold"/>
    </font>
    <font>
      <sz val="7"/>
      <color theme="0"/>
      <name val="Montserrat SemiBold"/>
    </font>
    <font>
      <sz val="10"/>
      <color theme="1"/>
      <name val="Montserrat"/>
    </font>
    <font>
      <sz val="10"/>
      <name val="Montserrat"/>
    </font>
    <font>
      <u/>
      <sz val="11"/>
      <color theme="10"/>
      <name val="Calibri"/>
      <family val="2"/>
      <scheme val="minor"/>
    </font>
    <font>
      <sz val="10"/>
      <color theme="10"/>
      <name val="Montserrat"/>
    </font>
    <font>
      <sz val="7"/>
      <color theme="10"/>
      <name val="Montserrat"/>
    </font>
    <font>
      <u/>
      <sz val="10"/>
      <color theme="10"/>
      <name val="Montserrat"/>
    </font>
    <font>
      <u/>
      <sz val="10"/>
      <color theme="4"/>
      <name val="Montserrat"/>
    </font>
    <font>
      <u/>
      <sz val="7"/>
      <color theme="1"/>
      <name val="Montserrat"/>
    </font>
    <font>
      <sz val="10"/>
      <color theme="1"/>
      <name val="Calibri"/>
      <family val="2"/>
      <scheme val="minor"/>
    </font>
    <font>
      <sz val="10"/>
      <name val="Calibri"/>
      <family val="2"/>
      <scheme val="minor"/>
    </font>
    <font>
      <sz val="10"/>
      <color theme="10"/>
      <name val="Calibri"/>
      <family val="2"/>
      <scheme val="minor"/>
    </font>
    <font>
      <u/>
      <sz val="10"/>
      <color theme="10"/>
      <name val="Calibri"/>
      <family val="2"/>
      <scheme val="minor"/>
    </font>
    <font>
      <sz val="11"/>
      <color theme="1"/>
      <name val="Aptos"/>
      <family val="2"/>
    </font>
    <font>
      <sz val="10"/>
      <color rgb="FF0070C0"/>
      <name val="Montserrat"/>
    </font>
    <font>
      <sz val="10"/>
      <color rgb="FF0070C0"/>
      <name val="Calibri"/>
      <family val="2"/>
      <scheme val="minor"/>
    </font>
    <font>
      <sz val="11"/>
      <color theme="10"/>
      <name val="Calibri"/>
      <family val="2"/>
      <scheme val="minor"/>
    </font>
    <font>
      <sz val="10"/>
      <color theme="4"/>
      <name val="Montserrat"/>
    </font>
    <font>
      <b/>
      <sz val="6"/>
      <color theme="1"/>
      <name val="Montserrat"/>
    </font>
    <font>
      <sz val="6"/>
      <color rgb="FFFF0000"/>
      <name val="Montserrat"/>
    </font>
    <font>
      <sz val="9"/>
      <color theme="1"/>
      <name val="Calibri"/>
      <family val="2"/>
      <scheme val="minor"/>
    </font>
    <font>
      <sz val="9"/>
      <color rgb="FFFF0000"/>
      <name val="Calibri"/>
      <family val="2"/>
      <scheme val="minor"/>
    </font>
    <font>
      <i/>
      <sz val="11"/>
      <color theme="0" tint="-0.499984740745262"/>
      <name val="Calibri"/>
      <family val="2"/>
      <scheme val="minor"/>
    </font>
    <font>
      <b/>
      <sz val="9"/>
      <color theme="1"/>
      <name val="Gotham Rounded Book"/>
      <family val="3"/>
    </font>
    <font>
      <sz val="9"/>
      <name val="Calibri"/>
      <family val="2"/>
      <scheme val="minor"/>
    </font>
    <font>
      <sz val="9"/>
      <color rgb="FF0033CC"/>
      <name val="Calibri"/>
      <family val="2"/>
      <scheme val="minor"/>
    </font>
    <font>
      <sz val="11"/>
      <color theme="4"/>
      <name val="Calibri"/>
      <family val="2"/>
      <scheme val="minor"/>
    </font>
    <font>
      <sz val="9"/>
      <color rgb="FF0070C0"/>
      <name val="Calibri"/>
      <family val="2"/>
      <scheme val="minor"/>
    </font>
    <font>
      <b/>
      <u/>
      <sz val="9"/>
      <color rgb="FF0070C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rgb="FFFF0000"/>
        <bgColor indexed="64"/>
      </patternFill>
    </fill>
    <fill>
      <patternFill patternType="solid">
        <fgColor rgb="FF00B050"/>
        <bgColor indexed="64"/>
      </patternFill>
    </fill>
    <fill>
      <patternFill patternType="solid">
        <fgColor rgb="FF002060"/>
        <bgColor indexed="64"/>
      </patternFill>
    </fill>
    <fill>
      <patternFill patternType="solid">
        <fgColor theme="8" tint="0.79998168889431442"/>
        <bgColor indexed="64"/>
      </patternFill>
    </fill>
    <fill>
      <patternFill patternType="solid">
        <fgColor rgb="FF003760"/>
        <bgColor indexed="64"/>
      </patternFill>
    </fill>
    <fill>
      <patternFill patternType="solid">
        <fgColor theme="0" tint="-0.14999847407452621"/>
        <bgColor indexed="64"/>
      </patternFill>
    </fill>
    <fill>
      <patternFill patternType="solid">
        <fgColor rgb="FF003399"/>
        <bgColor indexed="64"/>
      </patternFill>
    </fill>
    <fill>
      <patternFill patternType="solid">
        <fgColor theme="4" tint="0.79998168889431442"/>
        <bgColor indexed="64"/>
      </patternFill>
    </fill>
    <fill>
      <patternFill patternType="solid">
        <fgColor rgb="FFFFFF00"/>
        <bgColor indexed="64"/>
      </patternFill>
    </fill>
  </fills>
  <borders count="65">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diagonalDown="1">
      <left style="thin">
        <color indexed="64"/>
      </left>
      <right style="thin">
        <color indexed="64"/>
      </right>
      <top/>
      <bottom style="thin">
        <color indexed="64"/>
      </bottom>
      <diagonal style="thin">
        <color indexed="64"/>
      </diagonal>
    </border>
    <border>
      <left/>
      <right style="thin">
        <color indexed="64"/>
      </right>
      <top/>
      <bottom style="thin">
        <color indexed="64"/>
      </bottom>
      <diagonal/>
    </border>
    <border>
      <left style="thin">
        <color indexed="64"/>
      </left>
      <right/>
      <top/>
      <bottom style="thin">
        <color indexed="64"/>
      </bottom>
      <diagonal/>
    </border>
    <border diagonalDown="1">
      <left style="thin">
        <color indexed="64"/>
      </left>
      <right style="thin">
        <color indexed="64"/>
      </right>
      <top/>
      <bottom/>
      <diagonal style="thin">
        <color indexed="64"/>
      </diagonal>
    </border>
    <border>
      <left/>
      <right style="thin">
        <color indexed="64"/>
      </right>
      <top style="thin">
        <color indexed="64"/>
      </top>
      <bottom/>
      <diagonal/>
    </border>
    <border>
      <left style="thin">
        <color indexed="64"/>
      </left>
      <right/>
      <top style="thin">
        <color indexed="64"/>
      </top>
      <bottom/>
      <diagonal/>
    </border>
    <border diagonalDown="1">
      <left style="thin">
        <color indexed="64"/>
      </left>
      <right style="thin">
        <color indexed="64"/>
      </right>
      <top style="thin">
        <color indexed="64"/>
      </top>
      <bottom/>
      <diagonal style="thin">
        <color indexed="64"/>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s>
  <cellStyleXfs count="7">
    <xf numFmtId="0" fontId="0" fillId="0" borderId="0"/>
    <xf numFmtId="0" fontId="2" fillId="0" borderId="0"/>
    <xf numFmtId="0" fontId="2" fillId="0" borderId="0"/>
    <xf numFmtId="0" fontId="14" fillId="0" borderId="0"/>
    <xf numFmtId="0" fontId="2" fillId="0" borderId="0"/>
    <xf numFmtId="0" fontId="2" fillId="0" borderId="0"/>
    <xf numFmtId="0" fontId="32" fillId="0" borderId="0" applyNumberFormat="0" applyFill="0" applyBorder="0" applyAlignment="0" applyProtection="0"/>
  </cellStyleXfs>
  <cellXfs count="314">
    <xf numFmtId="0" fontId="0" fillId="0" borderId="0" xfId="0"/>
    <xf numFmtId="0" fontId="2" fillId="0" borderId="0" xfId="1"/>
    <xf numFmtId="0" fontId="2" fillId="3" borderId="0" xfId="1" applyFill="1"/>
    <xf numFmtId="0" fontId="2" fillId="0" borderId="0" xfId="1" applyAlignment="1">
      <alignment vertical="center" wrapText="1"/>
    </xf>
    <xf numFmtId="0" fontId="5" fillId="3" borderId="0" xfId="1" applyFont="1" applyFill="1"/>
    <xf numFmtId="0" fontId="2" fillId="3" borderId="0" xfId="1" applyFill="1" applyAlignment="1">
      <alignment vertical="center" wrapText="1"/>
    </xf>
    <xf numFmtId="0" fontId="2" fillId="3" borderId="0" xfId="1" applyFill="1" applyAlignment="1">
      <alignment horizontal="center" vertical="center"/>
    </xf>
    <xf numFmtId="0" fontId="7" fillId="4" borderId="5" xfId="1" applyFont="1" applyFill="1" applyBorder="1" applyAlignment="1">
      <alignment horizontal="center" vertical="center" wrapText="1"/>
    </xf>
    <xf numFmtId="0" fontId="7" fillId="5" borderId="5" xfId="1" applyFont="1" applyFill="1" applyBorder="1" applyAlignment="1">
      <alignment horizontal="center" vertical="center" wrapText="1"/>
    </xf>
    <xf numFmtId="0" fontId="4" fillId="7" borderId="5" xfId="1" applyFont="1" applyFill="1" applyBorder="1" applyAlignment="1">
      <alignment horizontal="center" vertical="center" wrapText="1"/>
    </xf>
    <xf numFmtId="0" fontId="9" fillId="3" borderId="0" xfId="1" applyFont="1" applyFill="1" applyAlignment="1">
      <alignment horizontal="center" vertical="center"/>
    </xf>
    <xf numFmtId="0" fontId="7" fillId="8" borderId="5" xfId="1" applyFont="1" applyFill="1" applyBorder="1" applyAlignment="1">
      <alignment horizontal="center" vertical="center" wrapText="1"/>
    </xf>
    <xf numFmtId="0" fontId="3" fillId="8" borderId="5" xfId="1" applyFont="1" applyFill="1" applyBorder="1" applyAlignment="1">
      <alignment horizontal="center" vertical="center" wrapText="1"/>
    </xf>
    <xf numFmtId="0" fontId="12" fillId="8" borderId="5" xfId="1" applyFont="1" applyFill="1" applyBorder="1" applyAlignment="1">
      <alignment horizontal="center" vertical="center"/>
    </xf>
    <xf numFmtId="0" fontId="3" fillId="4" borderId="5" xfId="1" applyFont="1" applyFill="1" applyBorder="1" applyAlignment="1">
      <alignment horizontal="center" vertical="center" wrapText="1"/>
    </xf>
    <xf numFmtId="49" fontId="12" fillId="4" borderId="5" xfId="1" applyNumberFormat="1" applyFont="1" applyFill="1" applyBorder="1" applyAlignment="1">
      <alignment horizontal="center" vertical="center"/>
    </xf>
    <xf numFmtId="0" fontId="3" fillId="5" borderId="5" xfId="1" applyFont="1" applyFill="1" applyBorder="1" applyAlignment="1">
      <alignment horizontal="center" vertical="center" wrapText="1"/>
    </xf>
    <xf numFmtId="49" fontId="12" fillId="5" borderId="5" xfId="1" applyNumberFormat="1" applyFont="1" applyFill="1" applyBorder="1" applyAlignment="1">
      <alignment horizontal="center" vertical="center"/>
    </xf>
    <xf numFmtId="0" fontId="2" fillId="0" borderId="0" xfId="2"/>
    <xf numFmtId="0" fontId="2" fillId="3" borderId="0" xfId="2" applyFill="1"/>
    <xf numFmtId="0" fontId="11" fillId="3" borderId="0" xfId="2" applyFont="1" applyFill="1"/>
    <xf numFmtId="0" fontId="2" fillId="0" borderId="20" xfId="2" applyBorder="1" applyAlignment="1">
      <alignment vertical="center"/>
    </xf>
    <xf numFmtId="3" fontId="2" fillId="0" borderId="43" xfId="2" applyNumberFormat="1" applyBorder="1" applyAlignment="1">
      <alignment horizontal="center"/>
    </xf>
    <xf numFmtId="0" fontId="2" fillId="0" borderId="42" xfId="2" applyBorder="1" applyAlignment="1">
      <alignment horizontal="center"/>
    </xf>
    <xf numFmtId="1" fontId="2" fillId="0" borderId="46" xfId="2" applyNumberFormat="1" applyBorder="1" applyAlignment="1">
      <alignment horizontal="center"/>
    </xf>
    <xf numFmtId="1" fontId="2" fillId="0" borderId="47" xfId="2" applyNumberFormat="1" applyBorder="1" applyAlignment="1">
      <alignment horizontal="center"/>
    </xf>
    <xf numFmtId="0" fontId="2" fillId="0" borderId="48" xfId="2" applyBorder="1"/>
    <xf numFmtId="0" fontId="2" fillId="0" borderId="20" xfId="2" applyBorder="1"/>
    <xf numFmtId="0" fontId="2" fillId="0" borderId="49" xfId="2" applyBorder="1"/>
    <xf numFmtId="0" fontId="2" fillId="0" borderId="1" xfId="2" applyBorder="1" applyAlignment="1">
      <alignment horizontal="center"/>
    </xf>
    <xf numFmtId="0" fontId="2" fillId="0" borderId="49" xfId="2" applyBorder="1" applyAlignment="1">
      <alignment horizontal="center"/>
    </xf>
    <xf numFmtId="0" fontId="2" fillId="0" borderId="1" xfId="2" applyBorder="1"/>
    <xf numFmtId="0" fontId="14" fillId="0" borderId="0" xfId="3"/>
    <xf numFmtId="0" fontId="14" fillId="3" borderId="0" xfId="3" applyFill="1"/>
    <xf numFmtId="0" fontId="16" fillId="3" borderId="0" xfId="3" applyFont="1" applyFill="1" applyAlignment="1">
      <alignment vertical="top"/>
    </xf>
    <xf numFmtId="0" fontId="2" fillId="0" borderId="0" xfId="4"/>
    <xf numFmtId="0" fontId="2" fillId="0" borderId="5" xfId="5" applyBorder="1"/>
    <xf numFmtId="0" fontId="4" fillId="0" borderId="0" xfId="4" applyFont="1"/>
    <xf numFmtId="0" fontId="0" fillId="0" borderId="5" xfId="1" applyFont="1" applyBorder="1" applyAlignment="1">
      <alignment horizontal="center" vertical="center" wrapText="1"/>
    </xf>
    <xf numFmtId="0" fontId="0" fillId="0" borderId="6" xfId="1" applyFont="1" applyBorder="1" applyAlignment="1">
      <alignment horizontal="center" vertical="center" wrapText="1"/>
    </xf>
    <xf numFmtId="0" fontId="2" fillId="0" borderId="43" xfId="2" applyBorder="1"/>
    <xf numFmtId="0" fontId="2" fillId="0" borderId="55" xfId="2" applyBorder="1"/>
    <xf numFmtId="0" fontId="2" fillId="0" borderId="43" xfId="2" applyBorder="1" applyAlignment="1">
      <alignment vertical="center"/>
    </xf>
    <xf numFmtId="0" fontId="2" fillId="0" borderId="55" xfId="2" applyBorder="1" applyAlignment="1">
      <alignment vertical="center"/>
    </xf>
    <xf numFmtId="0" fontId="5" fillId="10" borderId="43" xfId="2" applyFont="1" applyFill="1" applyBorder="1"/>
    <xf numFmtId="0" fontId="1" fillId="3" borderId="0" xfId="2" applyFont="1" applyFill="1"/>
    <xf numFmtId="0" fontId="21" fillId="2" borderId="15" xfId="0" applyFont="1" applyFill="1" applyBorder="1" applyAlignment="1">
      <alignment horizontal="center" vertical="center"/>
    </xf>
    <xf numFmtId="0" fontId="21" fillId="2" borderId="16" xfId="0" applyFont="1" applyFill="1" applyBorder="1" applyAlignment="1">
      <alignment horizontal="center" vertical="center"/>
    </xf>
    <xf numFmtId="0" fontId="25" fillId="0" borderId="5" xfId="0" applyFont="1" applyBorder="1" applyAlignment="1">
      <alignment horizontal="center" vertical="center"/>
    </xf>
    <xf numFmtId="0" fontId="25" fillId="0" borderId="29" xfId="0" applyFont="1" applyBorder="1" applyAlignment="1">
      <alignment horizontal="center" vertical="center"/>
    </xf>
    <xf numFmtId="0" fontId="25" fillId="0" borderId="15" xfId="0" applyFont="1" applyBorder="1" applyAlignment="1">
      <alignment horizontal="center" vertical="center"/>
    </xf>
    <xf numFmtId="0" fontId="25" fillId="0" borderId="18" xfId="0" applyFont="1" applyBorder="1" applyAlignment="1">
      <alignment horizontal="center" vertical="center"/>
    </xf>
    <xf numFmtId="0" fontId="25" fillId="2" borderId="31" xfId="0" applyFont="1" applyFill="1" applyBorder="1" applyAlignment="1">
      <alignment vertical="center" textRotation="90"/>
    </xf>
    <xf numFmtId="0" fontId="26" fillId="4" borderId="11" xfId="0" applyFont="1" applyFill="1" applyBorder="1" applyAlignment="1">
      <alignment horizontal="center" vertical="center"/>
    </xf>
    <xf numFmtId="0" fontId="26" fillId="6" borderId="12" xfId="0" applyFont="1" applyFill="1" applyBorder="1" applyAlignment="1">
      <alignment horizontal="center" vertical="center"/>
    </xf>
    <xf numFmtId="0" fontId="26" fillId="6" borderId="30" xfId="0" applyFont="1" applyFill="1" applyBorder="1" applyAlignment="1">
      <alignment horizontal="center" vertical="center"/>
    </xf>
    <xf numFmtId="0" fontId="26" fillId="4" borderId="28" xfId="0" applyFont="1" applyFill="1" applyBorder="1" applyAlignment="1">
      <alignment horizontal="center" vertical="center"/>
    </xf>
    <xf numFmtId="0" fontId="26" fillId="4" borderId="5" xfId="0" applyFont="1" applyFill="1" applyBorder="1" applyAlignment="1">
      <alignment horizontal="center" vertical="center"/>
    </xf>
    <xf numFmtId="0" fontId="26" fillId="6" borderId="5" xfId="0" applyFont="1" applyFill="1" applyBorder="1" applyAlignment="1">
      <alignment horizontal="center" vertical="center"/>
    </xf>
    <xf numFmtId="0" fontId="26" fillId="6" borderId="6" xfId="0" applyFont="1" applyFill="1" applyBorder="1" applyAlignment="1">
      <alignment horizontal="center" vertical="center"/>
    </xf>
    <xf numFmtId="0" fontId="26" fillId="5" borderId="28" xfId="0" applyFont="1" applyFill="1" applyBorder="1" applyAlignment="1">
      <alignment horizontal="center" vertical="center"/>
    </xf>
    <xf numFmtId="0" fontId="26" fillId="5" borderId="5" xfId="0" applyFont="1" applyFill="1" applyBorder="1" applyAlignment="1">
      <alignment horizontal="center" vertical="center"/>
    </xf>
    <xf numFmtId="0" fontId="26" fillId="5" borderId="14" xfId="0" applyFont="1" applyFill="1" applyBorder="1" applyAlignment="1">
      <alignment horizontal="center" vertical="center"/>
    </xf>
    <xf numFmtId="0" fontId="26" fillId="5" borderId="15" xfId="0" applyFont="1" applyFill="1" applyBorder="1" applyAlignment="1">
      <alignment horizontal="center" vertical="center"/>
    </xf>
    <xf numFmtId="0" fontId="26" fillId="4" borderId="15" xfId="0" applyFont="1" applyFill="1" applyBorder="1" applyAlignment="1">
      <alignment horizontal="center" vertical="center"/>
    </xf>
    <xf numFmtId="0" fontId="26" fillId="6" borderId="16" xfId="0" applyFont="1" applyFill="1" applyBorder="1" applyAlignment="1">
      <alignment horizontal="center" vertical="center"/>
    </xf>
    <xf numFmtId="0" fontId="27" fillId="0" borderId="28" xfId="0" applyFont="1" applyBorder="1" applyAlignment="1">
      <alignment horizontal="center" vertical="center"/>
    </xf>
    <xf numFmtId="0" fontId="27" fillId="0" borderId="14" xfId="0" applyFont="1" applyBorder="1" applyAlignment="1">
      <alignment horizontal="center" vertical="center"/>
    </xf>
    <xf numFmtId="0" fontId="27" fillId="2" borderId="42" xfId="0" applyFont="1" applyFill="1" applyBorder="1" applyAlignment="1">
      <alignment horizontal="center" vertical="center"/>
    </xf>
    <xf numFmtId="0" fontId="24" fillId="0" borderId="53" xfId="0" applyFont="1" applyBorder="1" applyAlignment="1">
      <alignment horizontal="center" vertical="center" wrapText="1"/>
    </xf>
    <xf numFmtId="0" fontId="24" fillId="0" borderId="10" xfId="0" applyFont="1" applyBorder="1" applyAlignment="1">
      <alignment horizontal="center" vertical="center" wrapText="1"/>
    </xf>
    <xf numFmtId="0" fontId="23" fillId="0" borderId="10" xfId="0" applyFont="1" applyBorder="1" applyAlignment="1">
      <alignment horizontal="center" vertical="center" wrapText="1"/>
    </xf>
    <xf numFmtId="0" fontId="24" fillId="0" borderId="10" xfId="0" applyFont="1" applyBorder="1" applyAlignment="1">
      <alignment horizontal="left" vertical="center" wrapText="1"/>
    </xf>
    <xf numFmtId="0" fontId="24" fillId="0" borderId="28" xfId="0" applyFont="1" applyBorder="1" applyAlignment="1">
      <alignment horizontal="center" vertical="center" wrapText="1"/>
    </xf>
    <xf numFmtId="0" fontId="0" fillId="3" borderId="0" xfId="0" applyFill="1"/>
    <xf numFmtId="0" fontId="27" fillId="3" borderId="0" xfId="0" applyFont="1" applyFill="1" applyAlignment="1">
      <alignment horizontal="center" vertical="center"/>
    </xf>
    <xf numFmtId="0" fontId="27" fillId="3" borderId="27" xfId="0" applyFont="1" applyFill="1" applyBorder="1" applyAlignment="1">
      <alignment horizontal="center" vertical="center"/>
    </xf>
    <xf numFmtId="0" fontId="0" fillId="3" borderId="32" xfId="0" applyFill="1" applyBorder="1"/>
    <xf numFmtId="0" fontId="24" fillId="0" borderId="42" xfId="0" applyFont="1" applyBorder="1" applyAlignment="1" applyProtection="1">
      <alignment horizontal="left"/>
      <protection locked="0" hidden="1"/>
    </xf>
    <xf numFmtId="0" fontId="24" fillId="0" borderId="64" xfId="0" applyFont="1" applyBorder="1" applyAlignment="1" applyProtection="1">
      <alignment horizontal="left"/>
      <protection locked="0" hidden="1"/>
    </xf>
    <xf numFmtId="0" fontId="24" fillId="0" borderId="0" xfId="0" applyFont="1" applyAlignment="1" applyProtection="1">
      <alignment horizontal="left"/>
      <protection locked="0"/>
    </xf>
    <xf numFmtId="0" fontId="0" fillId="0" borderId="0" xfId="0" applyProtection="1">
      <protection locked="0"/>
    </xf>
    <xf numFmtId="0" fontId="24" fillId="0" borderId="0" xfId="0" applyFont="1" applyProtection="1">
      <protection locked="0"/>
    </xf>
    <xf numFmtId="0" fontId="24" fillId="3" borderId="11" xfId="0" applyFont="1" applyFill="1" applyBorder="1" applyProtection="1">
      <protection locked="0"/>
    </xf>
    <xf numFmtId="0" fontId="24" fillId="3" borderId="12" xfId="0" applyFont="1" applyFill="1" applyBorder="1" applyProtection="1">
      <protection locked="0"/>
    </xf>
    <xf numFmtId="0" fontId="24" fillId="3" borderId="30" xfId="0" applyFont="1" applyFill="1" applyBorder="1" applyProtection="1">
      <protection locked="0"/>
    </xf>
    <xf numFmtId="0" fontId="24" fillId="3" borderId="13" xfId="0" applyFont="1" applyFill="1" applyBorder="1" applyProtection="1">
      <protection locked="0"/>
    </xf>
    <xf numFmtId="0" fontId="30" fillId="0" borderId="0" xfId="4" applyFont="1"/>
    <xf numFmtId="0" fontId="18" fillId="3" borderId="61" xfId="0" applyFont="1" applyFill="1" applyBorder="1" applyAlignment="1">
      <alignment horizontal="center" vertical="top"/>
    </xf>
    <xf numFmtId="0" fontId="24" fillId="3" borderId="48" xfId="0" applyFont="1" applyFill="1" applyBorder="1" applyAlignment="1">
      <alignment horizontal="center" vertical="center"/>
    </xf>
    <xf numFmtId="0" fontId="0" fillId="3" borderId="0" xfId="0" applyFill="1" applyProtection="1">
      <protection locked="0"/>
    </xf>
    <xf numFmtId="0" fontId="24" fillId="3" borderId="0" xfId="0" applyFont="1" applyFill="1" applyProtection="1">
      <protection locked="0"/>
    </xf>
    <xf numFmtId="0" fontId="24" fillId="3" borderId="0" xfId="0" applyFont="1" applyFill="1" applyAlignment="1" applyProtection="1">
      <alignment horizontal="left"/>
      <protection locked="0"/>
    </xf>
    <xf numFmtId="0" fontId="30" fillId="0" borderId="5" xfId="5" applyFont="1" applyBorder="1" applyAlignment="1">
      <alignment vertical="center" wrapText="1"/>
    </xf>
    <xf numFmtId="0" fontId="35" fillId="0" borderId="5" xfId="6" applyFont="1" applyBorder="1" applyAlignment="1">
      <alignment vertical="center" wrapText="1"/>
    </xf>
    <xf numFmtId="0" fontId="30" fillId="0" borderId="0" xfId="4" applyFont="1" applyAlignment="1">
      <alignment vertical="center" wrapText="1"/>
    </xf>
    <xf numFmtId="0" fontId="38" fillId="0" borderId="5" xfId="5" applyFont="1" applyBorder="1" applyAlignment="1">
      <alignment vertical="center" wrapText="1"/>
    </xf>
    <xf numFmtId="0" fontId="41" fillId="0" borderId="5" xfId="6" applyFont="1" applyBorder="1" applyAlignment="1">
      <alignment vertical="center" wrapText="1"/>
    </xf>
    <xf numFmtId="0" fontId="2" fillId="0" borderId="0" xfId="4" applyAlignment="1">
      <alignment wrapText="1"/>
    </xf>
    <xf numFmtId="0" fontId="43" fillId="0" borderId="5" xfId="5" applyFont="1" applyBorder="1" applyAlignment="1">
      <alignment vertical="center" wrapText="1"/>
    </xf>
    <xf numFmtId="0" fontId="43" fillId="0" borderId="5" xfId="5" applyFont="1" applyBorder="1" applyAlignment="1">
      <alignment horizontal="left" vertical="center" wrapText="1"/>
    </xf>
    <xf numFmtId="0" fontId="30" fillId="0" borderId="5" xfId="5" applyFont="1" applyBorder="1" applyAlignment="1">
      <alignment horizontal="center" vertical="center"/>
    </xf>
    <xf numFmtId="0" fontId="43" fillId="0" borderId="5" xfId="0" applyFont="1" applyBorder="1" applyAlignment="1">
      <alignment vertical="center" wrapText="1"/>
    </xf>
    <xf numFmtId="0" fontId="40" fillId="0" borderId="5" xfId="6" applyFont="1" applyBorder="1" applyAlignment="1">
      <alignment vertical="center" wrapText="1"/>
    </xf>
    <xf numFmtId="0" fontId="45" fillId="0" borderId="5" xfId="6" applyFont="1" applyBorder="1" applyAlignment="1">
      <alignment vertical="center" wrapText="1"/>
    </xf>
    <xf numFmtId="0" fontId="46" fillId="0" borderId="5" xfId="5" applyFont="1" applyBorder="1" applyAlignment="1">
      <alignment vertical="center" wrapText="1"/>
    </xf>
    <xf numFmtId="0" fontId="46" fillId="0" borderId="5" xfId="0" applyFont="1" applyBorder="1" applyAlignment="1">
      <alignment vertical="center" wrapText="1"/>
    </xf>
    <xf numFmtId="0" fontId="30" fillId="3" borderId="5" xfId="5" applyFont="1" applyFill="1" applyBorder="1" applyAlignment="1">
      <alignment horizontal="center" vertical="center"/>
    </xf>
    <xf numFmtId="0" fontId="13" fillId="9" borderId="5" xfId="1" applyFont="1" applyFill="1" applyBorder="1" applyAlignment="1">
      <alignment horizontal="center" vertical="center" wrapText="1"/>
    </xf>
    <xf numFmtId="0" fontId="51" fillId="9" borderId="19" xfId="1" applyFont="1" applyFill="1" applyBorder="1" applyAlignment="1">
      <alignment horizontal="center" vertical="center" wrapText="1"/>
    </xf>
    <xf numFmtId="0" fontId="52" fillId="11" borderId="5" xfId="1" applyFont="1" applyFill="1" applyBorder="1" applyAlignment="1">
      <alignment horizontal="center" vertical="center" wrapText="1"/>
    </xf>
    <xf numFmtId="0" fontId="52" fillId="9" borderId="5" xfId="1" applyFont="1" applyFill="1" applyBorder="1" applyAlignment="1">
      <alignment horizontal="center" vertical="center"/>
    </xf>
    <xf numFmtId="0" fontId="52" fillId="11" borderId="5" xfId="1" applyFont="1" applyFill="1" applyBorder="1" applyAlignment="1">
      <alignment horizontal="center" vertical="center"/>
    </xf>
    <xf numFmtId="0" fontId="49" fillId="0" borderId="5" xfId="1" applyFont="1" applyBorder="1" applyAlignment="1">
      <alignment horizontal="center" vertical="center" wrapText="1"/>
    </xf>
    <xf numFmtId="0" fontId="53" fillId="0" borderId="40" xfId="1" applyFont="1" applyBorder="1" applyAlignment="1">
      <alignment horizontal="center" vertical="center" wrapText="1"/>
    </xf>
    <xf numFmtId="0" fontId="52" fillId="7" borderId="5" xfId="1" applyFont="1" applyFill="1" applyBorder="1" applyAlignment="1">
      <alignment horizontal="center" vertical="center"/>
    </xf>
    <xf numFmtId="0" fontId="49" fillId="0" borderId="5" xfId="1" applyFont="1" applyBorder="1" applyAlignment="1">
      <alignment horizontal="center" vertical="top" wrapText="1"/>
    </xf>
    <xf numFmtId="0" fontId="14" fillId="3" borderId="5" xfId="3" applyFill="1" applyBorder="1" applyAlignment="1">
      <alignment wrapText="1"/>
    </xf>
    <xf numFmtId="0" fontId="30" fillId="3" borderId="5" xfId="5" applyFont="1" applyFill="1" applyBorder="1" applyAlignment="1">
      <alignment horizontal="left" vertical="center" wrapText="1"/>
    </xf>
    <xf numFmtId="0" fontId="46" fillId="3" borderId="5" xfId="5" applyFont="1" applyFill="1" applyBorder="1" applyAlignment="1">
      <alignment horizontal="left" vertical="center" wrapText="1"/>
    </xf>
    <xf numFmtId="0" fontId="43" fillId="3" borderId="5" xfId="5" applyFont="1" applyFill="1" applyBorder="1" applyAlignment="1">
      <alignment horizontal="left" vertical="center" wrapText="1"/>
    </xf>
    <xf numFmtId="0" fontId="31" fillId="12" borderId="5" xfId="3" applyFont="1" applyFill="1" applyBorder="1" applyAlignment="1">
      <alignment wrapText="1"/>
    </xf>
    <xf numFmtId="0" fontId="30" fillId="0" borderId="5" xfId="4" applyFont="1" applyBorder="1" applyAlignment="1">
      <alignment wrapText="1"/>
    </xf>
    <xf numFmtId="0" fontId="31" fillId="0" borderId="5" xfId="4" applyFont="1" applyBorder="1" applyAlignment="1">
      <alignment wrapText="1"/>
    </xf>
    <xf numFmtId="0" fontId="42" fillId="0" borderId="8" xfId="0" applyFont="1" applyBorder="1" applyAlignment="1">
      <alignment wrapText="1"/>
    </xf>
    <xf numFmtId="0" fontId="24" fillId="3" borderId="14" xfId="0" applyFont="1" applyFill="1" applyBorder="1" applyProtection="1">
      <protection locked="0"/>
    </xf>
    <xf numFmtId="0" fontId="24" fillId="3" borderId="15" xfId="0" applyFont="1" applyFill="1" applyBorder="1" applyProtection="1">
      <protection locked="0"/>
    </xf>
    <xf numFmtId="0" fontId="24" fillId="3" borderId="16" xfId="0" applyFont="1" applyFill="1" applyBorder="1" applyProtection="1">
      <protection locked="0"/>
    </xf>
    <xf numFmtId="0" fontId="24" fillId="3" borderId="18" xfId="0" applyFont="1" applyFill="1" applyBorder="1" applyProtection="1">
      <protection locked="0"/>
    </xf>
    <xf numFmtId="0" fontId="24" fillId="3" borderId="52" xfId="0" applyFont="1" applyFill="1" applyBorder="1" applyProtection="1">
      <protection locked="0"/>
    </xf>
    <xf numFmtId="0" fontId="24" fillId="3" borderId="51" xfId="0" applyFont="1" applyFill="1" applyBorder="1" applyProtection="1">
      <protection locked="0"/>
    </xf>
    <xf numFmtId="0" fontId="24" fillId="0" borderId="5" xfId="0" applyFont="1" applyBorder="1" applyAlignment="1">
      <alignment horizontal="left" vertical="center" wrapText="1"/>
    </xf>
    <xf numFmtId="0" fontId="24" fillId="0" borderId="10" xfId="0" applyFont="1" applyBorder="1" applyAlignment="1">
      <alignment horizontal="left" vertical="center" wrapText="1"/>
    </xf>
    <xf numFmtId="0" fontId="24" fillId="0" borderId="6" xfId="0" applyFont="1" applyBorder="1" applyAlignment="1">
      <alignment horizontal="left" vertical="center" wrapText="1"/>
    </xf>
    <xf numFmtId="0" fontId="24" fillId="0" borderId="7" xfId="0" applyFont="1" applyBorder="1" applyAlignment="1">
      <alignment horizontal="left" vertical="center" wrapText="1"/>
    </xf>
    <xf numFmtId="0" fontId="24" fillId="0" borderId="54" xfId="0" applyFont="1" applyBorder="1" applyAlignment="1">
      <alignment horizontal="left" vertical="center" wrapText="1"/>
    </xf>
    <xf numFmtId="0" fontId="24" fillId="3" borderId="11" xfId="0" applyFont="1" applyFill="1" applyBorder="1" applyAlignment="1" applyProtection="1">
      <alignment horizontal="left"/>
      <protection locked="0"/>
    </xf>
    <xf numFmtId="0" fontId="24" fillId="3" borderId="30" xfId="0" applyFont="1" applyFill="1" applyBorder="1" applyAlignment="1" applyProtection="1">
      <alignment horizontal="left"/>
      <protection locked="0"/>
    </xf>
    <xf numFmtId="166" fontId="24" fillId="3" borderId="12" xfId="0" applyNumberFormat="1" applyFont="1" applyFill="1" applyBorder="1" applyAlignment="1" applyProtection="1">
      <alignment horizontal="left"/>
      <protection locked="0"/>
    </xf>
    <xf numFmtId="166" fontId="24" fillId="3" borderId="13" xfId="0" applyNumberFormat="1" applyFont="1" applyFill="1" applyBorder="1" applyAlignment="1" applyProtection="1">
      <alignment horizontal="left"/>
      <protection locked="0"/>
    </xf>
    <xf numFmtId="0" fontId="24" fillId="0" borderId="20" xfId="0" applyFont="1" applyBorder="1" applyAlignment="1" applyProtection="1">
      <alignment horizontal="center"/>
      <protection locked="0" hidden="1"/>
    </xf>
    <xf numFmtId="0" fontId="24" fillId="0" borderId="21" xfId="0" applyFont="1" applyBorder="1" applyAlignment="1" applyProtection="1">
      <alignment horizontal="center"/>
      <protection locked="0" hidden="1"/>
    </xf>
    <xf numFmtId="0" fontId="24" fillId="0" borderId="22" xfId="0" applyFont="1" applyBorder="1" applyAlignment="1" applyProtection="1">
      <alignment horizontal="center"/>
      <protection locked="0" hidden="1"/>
    </xf>
    <xf numFmtId="0" fontId="24" fillId="0" borderId="23" xfId="0" applyFont="1" applyBorder="1" applyAlignment="1" applyProtection="1">
      <alignment horizontal="left"/>
      <protection locked="0" hidden="1"/>
    </xf>
    <xf numFmtId="0" fontId="24" fillId="0" borderId="9" xfId="0" applyFont="1" applyBorder="1" applyAlignment="1" applyProtection="1">
      <alignment horizontal="left"/>
      <protection locked="0" hidden="1"/>
    </xf>
    <xf numFmtId="0" fontId="24" fillId="0" borderId="24" xfId="0" applyFont="1" applyBorder="1" applyAlignment="1" applyProtection="1">
      <alignment horizontal="left"/>
      <protection locked="0" hidden="1"/>
    </xf>
    <xf numFmtId="0" fontId="24" fillId="0" borderId="20" xfId="0" applyFont="1" applyBorder="1" applyAlignment="1" applyProtection="1">
      <alignment horizontal="left"/>
      <protection locked="0" hidden="1"/>
    </xf>
    <xf numFmtId="0" fontId="24" fillId="0" borderId="21" xfId="0" applyFont="1" applyBorder="1" applyAlignment="1" applyProtection="1">
      <alignment horizontal="left"/>
      <protection locked="0" hidden="1"/>
    </xf>
    <xf numFmtId="0" fontId="24" fillId="0" borderId="22" xfId="0" applyFont="1" applyBorder="1" applyAlignment="1" applyProtection="1">
      <alignment horizontal="left"/>
      <protection locked="0" hidden="1"/>
    </xf>
    <xf numFmtId="0" fontId="24" fillId="0" borderId="59" xfId="0" applyFont="1" applyBorder="1" applyAlignment="1" applyProtection="1">
      <alignment horizontal="center"/>
      <protection locked="0"/>
    </xf>
    <xf numFmtId="0" fontId="24" fillId="0" borderId="27" xfId="0" applyFont="1" applyBorder="1" applyAlignment="1" applyProtection="1">
      <alignment horizontal="center"/>
      <protection locked="0"/>
    </xf>
    <xf numFmtId="0" fontId="24" fillId="0" borderId="4" xfId="0" applyFont="1" applyBorder="1" applyAlignment="1" applyProtection="1">
      <alignment horizontal="center"/>
      <protection locked="0"/>
    </xf>
    <xf numFmtId="0" fontId="24" fillId="0" borderId="23" xfId="0" applyFont="1" applyBorder="1" applyAlignment="1" applyProtection="1">
      <alignment horizontal="center"/>
      <protection locked="0" hidden="1"/>
    </xf>
    <xf numFmtId="0" fontId="24" fillId="0" borderId="9" xfId="0" applyFont="1" applyBorder="1" applyAlignment="1" applyProtection="1">
      <alignment horizontal="center"/>
      <protection locked="0" hidden="1"/>
    </xf>
    <xf numFmtId="0" fontId="24" fillId="0" borderId="24" xfId="0" applyFont="1" applyBorder="1" applyAlignment="1" applyProtection="1">
      <alignment horizontal="center"/>
      <protection locked="0" hidden="1"/>
    </xf>
    <xf numFmtId="0" fontId="24" fillId="3" borderId="14" xfId="0" applyFont="1" applyFill="1" applyBorder="1" applyAlignment="1" applyProtection="1">
      <alignment horizontal="left"/>
      <protection locked="0"/>
    </xf>
    <xf numFmtId="0" fontId="24" fillId="3" borderId="16" xfId="0" applyFont="1" applyFill="1" applyBorder="1" applyAlignment="1" applyProtection="1">
      <alignment horizontal="left"/>
      <protection locked="0"/>
    </xf>
    <xf numFmtId="166" fontId="24" fillId="3" borderId="15" xfId="0" applyNumberFormat="1" applyFont="1" applyFill="1" applyBorder="1" applyAlignment="1" applyProtection="1">
      <alignment horizontal="left"/>
      <protection locked="0"/>
    </xf>
    <xf numFmtId="166" fontId="24" fillId="3" borderId="18" xfId="0" applyNumberFormat="1" applyFont="1" applyFill="1" applyBorder="1" applyAlignment="1" applyProtection="1">
      <alignment horizontal="left"/>
      <protection locked="0"/>
    </xf>
    <xf numFmtId="0" fontId="21" fillId="2" borderId="1" xfId="0" applyFont="1" applyFill="1" applyBorder="1" applyAlignment="1">
      <alignment horizontal="left" vertical="center"/>
    </xf>
    <xf numFmtId="0" fontId="21" fillId="2" borderId="31" xfId="0" applyFont="1" applyFill="1" applyBorder="1" applyAlignment="1">
      <alignment horizontal="left" vertical="center"/>
    </xf>
    <xf numFmtId="0" fontId="21" fillId="2" borderId="2" xfId="0" applyFont="1" applyFill="1" applyBorder="1" applyAlignment="1">
      <alignment horizontal="left" vertical="center"/>
    </xf>
    <xf numFmtId="0" fontId="25" fillId="0" borderId="1" xfId="0" applyFont="1" applyBorder="1" applyAlignment="1">
      <alignment horizontal="left" vertical="center" wrapText="1"/>
    </xf>
    <xf numFmtId="0" fontId="25" fillId="0" borderId="31" xfId="0" applyFont="1" applyBorder="1" applyAlignment="1">
      <alignment horizontal="left" vertical="center" wrapText="1"/>
    </xf>
    <xf numFmtId="0" fontId="25" fillId="0" borderId="2" xfId="0" applyFont="1" applyBorder="1" applyAlignment="1">
      <alignment horizontal="left" vertical="center" wrapText="1"/>
    </xf>
    <xf numFmtId="0" fontId="25" fillId="0" borderId="3" xfId="0" applyFont="1" applyBorder="1" applyAlignment="1">
      <alignment horizontal="left" vertical="center" wrapText="1"/>
    </xf>
    <xf numFmtId="0" fontId="25" fillId="0" borderId="27" xfId="0" applyFont="1" applyBorder="1" applyAlignment="1">
      <alignment horizontal="left" vertical="center" wrapText="1"/>
    </xf>
    <xf numFmtId="0" fontId="25" fillId="0" borderId="4" xfId="0" applyFont="1" applyBorder="1" applyAlignment="1">
      <alignment horizontal="left" vertical="center" wrapText="1"/>
    </xf>
    <xf numFmtId="0" fontId="24" fillId="0" borderId="30" xfId="0" applyFont="1" applyBorder="1" applyAlignment="1" applyProtection="1">
      <alignment horizontal="center"/>
      <protection locked="0"/>
    </xf>
    <xf numFmtId="0" fontId="24" fillId="0" borderId="21" xfId="0" applyFont="1" applyBorder="1" applyAlignment="1" applyProtection="1">
      <alignment horizontal="center"/>
      <protection locked="0"/>
    </xf>
    <xf numFmtId="0" fontId="24" fillId="0" borderId="22" xfId="0" applyFont="1" applyBorder="1" applyAlignment="1" applyProtection="1">
      <alignment horizontal="center"/>
      <protection locked="0"/>
    </xf>
    <xf numFmtId="0" fontId="22" fillId="2" borderId="11" xfId="0" applyFont="1" applyFill="1" applyBorder="1" applyAlignment="1" applyProtection="1">
      <alignment horizontal="right"/>
      <protection locked="0"/>
    </xf>
    <xf numFmtId="0" fontId="22" fillId="2" borderId="12" xfId="0" applyFont="1" applyFill="1" applyBorder="1" applyAlignment="1" applyProtection="1">
      <alignment horizontal="right"/>
      <protection locked="0"/>
    </xf>
    <xf numFmtId="0" fontId="22" fillId="2" borderId="13" xfId="0" applyFont="1" applyFill="1" applyBorder="1" applyAlignment="1" applyProtection="1">
      <alignment horizontal="right"/>
      <protection locked="0"/>
    </xf>
    <xf numFmtId="0" fontId="22" fillId="2" borderId="3" xfId="0" applyFont="1" applyFill="1" applyBorder="1" applyAlignment="1" applyProtection="1">
      <alignment horizontal="right"/>
      <protection locked="0"/>
    </xf>
    <xf numFmtId="0" fontId="22" fillId="2" borderId="27" xfId="0" applyFont="1" applyFill="1" applyBorder="1" applyAlignment="1" applyProtection="1">
      <alignment horizontal="right"/>
      <protection locked="0"/>
    </xf>
    <xf numFmtId="0" fontId="22" fillId="2" borderId="4" xfId="0" applyFont="1" applyFill="1" applyBorder="1" applyAlignment="1" applyProtection="1">
      <alignment horizontal="right"/>
      <protection locked="0"/>
    </xf>
    <xf numFmtId="0" fontId="22" fillId="2" borderId="20" xfId="0" applyFont="1" applyFill="1" applyBorder="1" applyAlignment="1" applyProtection="1">
      <alignment horizontal="left"/>
      <protection locked="0" hidden="1"/>
    </xf>
    <xf numFmtId="0" fontId="22" fillId="2" borderId="21" xfId="0" applyFont="1" applyFill="1" applyBorder="1" applyAlignment="1" applyProtection="1">
      <alignment horizontal="left"/>
      <protection locked="0" hidden="1"/>
    </xf>
    <xf numFmtId="0" fontId="22" fillId="2" borderId="50" xfId="0" applyFont="1" applyFill="1" applyBorder="1" applyAlignment="1" applyProtection="1">
      <alignment horizontal="left"/>
      <protection locked="0" hidden="1"/>
    </xf>
    <xf numFmtId="0" fontId="24" fillId="0" borderId="40" xfId="0" applyFont="1" applyBorder="1" applyAlignment="1" applyProtection="1">
      <alignment horizontal="left"/>
      <protection locked="0" hidden="1"/>
    </xf>
    <xf numFmtId="0" fontId="24" fillId="0" borderId="30" xfId="0" applyFont="1" applyBorder="1" applyAlignment="1" applyProtection="1">
      <alignment horizontal="left"/>
      <protection locked="0" hidden="1"/>
    </xf>
    <xf numFmtId="0" fontId="22" fillId="2" borderId="23" xfId="0" applyFont="1" applyFill="1" applyBorder="1" applyAlignment="1" applyProtection="1">
      <alignment horizontal="left"/>
      <protection locked="0" hidden="1"/>
    </xf>
    <xf numFmtId="0" fontId="22" fillId="2" borderId="9" xfId="0" applyFont="1" applyFill="1" applyBorder="1" applyAlignment="1" applyProtection="1">
      <alignment horizontal="left"/>
      <protection locked="0" hidden="1"/>
    </xf>
    <xf numFmtId="0" fontId="22" fillId="2" borderId="39" xfId="0" applyFont="1" applyFill="1" applyBorder="1" applyAlignment="1" applyProtection="1">
      <alignment horizontal="left"/>
      <protection locked="0" hidden="1"/>
    </xf>
    <xf numFmtId="0" fontId="24" fillId="3" borderId="59" xfId="0" applyFont="1" applyFill="1" applyBorder="1" applyAlignment="1">
      <alignment horizontal="center" vertical="center"/>
    </xf>
    <xf numFmtId="0" fontId="24" fillId="3" borderId="4" xfId="0" applyFont="1" applyFill="1" applyBorder="1" applyAlignment="1">
      <alignment horizontal="center" vertical="center"/>
    </xf>
    <xf numFmtId="0" fontId="22" fillId="11" borderId="20" xfId="0" applyFont="1" applyFill="1" applyBorder="1" applyAlignment="1">
      <alignment horizontal="left" vertical="center"/>
    </xf>
    <xf numFmtId="0" fontId="22" fillId="11" borderId="21" xfId="0" applyFont="1" applyFill="1" applyBorder="1" applyAlignment="1">
      <alignment horizontal="left" vertical="center"/>
    </xf>
    <xf numFmtId="0" fontId="22" fillId="11" borderId="50" xfId="0" applyFont="1" applyFill="1" applyBorder="1" applyAlignment="1">
      <alignment horizontal="left" vertical="center"/>
    </xf>
    <xf numFmtId="165" fontId="24" fillId="3" borderId="16" xfId="0" applyNumberFormat="1" applyFont="1" applyFill="1" applyBorder="1" applyAlignment="1">
      <alignment horizontal="center" vertical="center"/>
    </xf>
    <xf numFmtId="165" fontId="24" fillId="3" borderId="51" xfId="0" applyNumberFormat="1" applyFont="1" applyFill="1" applyBorder="1" applyAlignment="1">
      <alignment horizontal="center" vertical="center"/>
    </xf>
    <xf numFmtId="165" fontId="24" fillId="3" borderId="17" xfId="0" applyNumberFormat="1" applyFont="1" applyFill="1" applyBorder="1" applyAlignment="1">
      <alignment horizontal="center" vertical="center"/>
    </xf>
    <xf numFmtId="0" fontId="27" fillId="2" borderId="0" xfId="0" applyFont="1" applyFill="1" applyAlignment="1">
      <alignment horizontal="center" vertical="center" textRotation="90"/>
    </xf>
    <xf numFmtId="0" fontId="27" fillId="2" borderId="27" xfId="0" applyFont="1" applyFill="1" applyBorder="1" applyAlignment="1">
      <alignment horizontal="center" vertical="center" textRotation="90"/>
    </xf>
    <xf numFmtId="0" fontId="22" fillId="0" borderId="33" xfId="0" applyFont="1" applyBorder="1" applyAlignment="1">
      <alignment horizontal="center" vertical="center"/>
    </xf>
    <xf numFmtId="0" fontId="22" fillId="0" borderId="32" xfId="0" applyFont="1" applyBorder="1" applyAlignment="1">
      <alignment horizontal="center" vertical="center"/>
    </xf>
    <xf numFmtId="0" fontId="22" fillId="0" borderId="34" xfId="0" applyFont="1" applyBorder="1" applyAlignment="1">
      <alignment horizontal="center" vertical="center"/>
    </xf>
    <xf numFmtId="0" fontId="21" fillId="0" borderId="62" xfId="0" applyFont="1" applyBorder="1" applyAlignment="1">
      <alignment horizontal="center" vertical="center"/>
    </xf>
    <xf numFmtId="0" fontId="49" fillId="3" borderId="33" xfId="0" applyFont="1" applyFill="1" applyBorder="1" applyAlignment="1">
      <alignment horizontal="left" wrapText="1"/>
    </xf>
    <xf numFmtId="0" fontId="49" fillId="3" borderId="32" xfId="0" applyFont="1" applyFill="1" applyBorder="1" applyAlignment="1">
      <alignment horizontal="left" wrapText="1"/>
    </xf>
    <xf numFmtId="0" fontId="49" fillId="3" borderId="34" xfId="0" applyFont="1" applyFill="1" applyBorder="1" applyAlignment="1">
      <alignment horizontal="left" wrapText="1"/>
    </xf>
    <xf numFmtId="0" fontId="24" fillId="3" borderId="52" xfId="0" applyFont="1" applyFill="1" applyBorder="1" applyAlignment="1">
      <alignment horizontal="left" vertical="center"/>
    </xf>
    <xf numFmtId="0" fontId="24" fillId="3" borderId="51" xfId="0" applyFont="1" applyFill="1" applyBorder="1" applyAlignment="1">
      <alignment horizontal="left" vertical="center"/>
    </xf>
    <xf numFmtId="0" fontId="24" fillId="3" borderId="60" xfId="0" applyFont="1" applyFill="1" applyBorder="1" applyAlignment="1">
      <alignment horizontal="left" vertical="center"/>
    </xf>
    <xf numFmtId="0" fontId="22" fillId="2" borderId="30" xfId="0" applyFont="1" applyFill="1" applyBorder="1" applyAlignment="1">
      <alignment horizontal="center" vertical="center"/>
    </xf>
    <xf numFmtId="0" fontId="22" fillId="2" borderId="21" xfId="0" applyFont="1" applyFill="1" applyBorder="1" applyAlignment="1">
      <alignment horizontal="center" vertical="center"/>
    </xf>
    <xf numFmtId="0" fontId="22" fillId="2" borderId="22" xfId="0" applyFont="1" applyFill="1" applyBorder="1" applyAlignment="1">
      <alignment horizontal="center" vertical="center"/>
    </xf>
    <xf numFmtId="0" fontId="22" fillId="2" borderId="20" xfId="0" applyFont="1" applyFill="1" applyBorder="1" applyAlignment="1">
      <alignment horizontal="left" vertical="center"/>
    </xf>
    <xf numFmtId="0" fontId="22" fillId="2" borderId="21" xfId="0" applyFont="1" applyFill="1" applyBorder="1" applyAlignment="1">
      <alignment horizontal="left" vertical="center"/>
    </xf>
    <xf numFmtId="0" fontId="24" fillId="3" borderId="17" xfId="0" applyFont="1" applyFill="1" applyBorder="1" applyAlignment="1">
      <alignment horizontal="left" vertical="center"/>
    </xf>
    <xf numFmtId="165" fontId="24" fillId="3" borderId="60" xfId="0" applyNumberFormat="1" applyFont="1" applyFill="1" applyBorder="1" applyAlignment="1">
      <alignment horizontal="center" vertical="center"/>
    </xf>
    <xf numFmtId="0" fontId="0" fillId="3" borderId="33" xfId="0" applyFill="1" applyBorder="1" applyAlignment="1">
      <alignment horizontal="center"/>
    </xf>
    <xf numFmtId="0" fontId="0" fillId="3" borderId="32" xfId="0" applyFill="1" applyBorder="1" applyAlignment="1">
      <alignment horizontal="center"/>
    </xf>
    <xf numFmtId="0" fontId="37" fillId="3" borderId="32" xfId="0" applyFont="1" applyFill="1" applyBorder="1" applyAlignment="1">
      <alignment horizontal="left"/>
    </xf>
    <xf numFmtId="0" fontId="37" fillId="3" borderId="34" xfId="0" applyFont="1" applyFill="1" applyBorder="1" applyAlignment="1">
      <alignment horizontal="left"/>
    </xf>
    <xf numFmtId="0" fontId="22" fillId="11" borderId="30" xfId="0" applyFont="1" applyFill="1" applyBorder="1" applyAlignment="1">
      <alignment horizontal="center" vertical="center"/>
    </xf>
    <xf numFmtId="0" fontId="22" fillId="11" borderId="22" xfId="0" applyFont="1" applyFill="1" applyBorder="1" applyAlignment="1">
      <alignment horizontal="center" vertical="center"/>
    </xf>
    <xf numFmtId="0" fontId="18" fillId="3" borderId="1" xfId="0" applyFont="1" applyFill="1" applyBorder="1" applyAlignment="1">
      <alignment horizontal="center" vertical="center" wrapText="1"/>
    </xf>
    <xf numFmtId="0" fontId="18" fillId="3" borderId="31" xfId="0" applyFont="1" applyFill="1" applyBorder="1" applyAlignment="1">
      <alignment horizontal="center" vertical="center" wrapText="1"/>
    </xf>
    <xf numFmtId="0" fontId="18" fillId="3" borderId="2" xfId="0" applyFont="1" applyFill="1" applyBorder="1" applyAlignment="1">
      <alignment horizontal="center" vertical="center" wrapText="1"/>
    </xf>
    <xf numFmtId="0" fontId="19" fillId="3" borderId="3" xfId="0" applyFont="1" applyFill="1" applyBorder="1" applyAlignment="1">
      <alignment horizontal="center" vertical="center"/>
    </xf>
    <xf numFmtId="0" fontId="19" fillId="3" borderId="27" xfId="0" applyFont="1" applyFill="1" applyBorder="1" applyAlignment="1">
      <alignment horizontal="center" vertical="center"/>
    </xf>
    <xf numFmtId="0" fontId="19" fillId="3" borderId="4" xfId="0" applyFont="1" applyFill="1" applyBorder="1" applyAlignment="1">
      <alignment horizontal="center" vertical="center"/>
    </xf>
    <xf numFmtId="0" fontId="24" fillId="2" borderId="25" xfId="0" applyFont="1" applyFill="1" applyBorder="1" applyAlignment="1">
      <alignment horizontal="left"/>
    </xf>
    <xf numFmtId="0" fontId="24" fillId="2" borderId="0" xfId="0" applyFont="1" applyFill="1" applyAlignment="1">
      <alignment horizontal="left"/>
    </xf>
    <xf numFmtId="0" fontId="24" fillId="2" borderId="26" xfId="0" applyFont="1" applyFill="1" applyBorder="1" applyAlignment="1">
      <alignment horizontal="left"/>
    </xf>
    <xf numFmtId="0" fontId="27" fillId="2" borderId="31" xfId="0" applyFont="1" applyFill="1" applyBorder="1" applyAlignment="1">
      <alignment horizontal="center" vertical="center"/>
    </xf>
    <xf numFmtId="0" fontId="0" fillId="0" borderId="1" xfId="0" applyBorder="1" applyAlignment="1">
      <alignment horizontal="center"/>
    </xf>
    <xf numFmtId="0" fontId="0" fillId="0" borderId="31" xfId="0" applyBorder="1" applyAlignment="1">
      <alignment horizontal="center"/>
    </xf>
    <xf numFmtId="0" fontId="0" fillId="0" borderId="2" xfId="0" applyBorder="1" applyAlignment="1">
      <alignment horizontal="center"/>
    </xf>
    <xf numFmtId="0" fontId="0" fillId="0" borderId="25" xfId="0" applyBorder="1" applyAlignment="1">
      <alignment horizontal="center"/>
    </xf>
    <xf numFmtId="0" fontId="0" fillId="0" borderId="0" xfId="0" applyAlignment="1">
      <alignment horizontal="center"/>
    </xf>
    <xf numFmtId="0" fontId="0" fillId="0" borderId="26" xfId="0" applyBorder="1" applyAlignment="1">
      <alignment horizontal="center"/>
    </xf>
    <xf numFmtId="0" fontId="27" fillId="2" borderId="11" xfId="0" applyFont="1" applyFill="1" applyBorder="1" applyAlignment="1">
      <alignment horizontal="center" vertical="center"/>
    </xf>
    <xf numFmtId="0" fontId="27" fillId="2" borderId="12" xfId="0" applyFont="1" applyFill="1" applyBorder="1" applyAlignment="1">
      <alignment horizontal="center" vertical="center"/>
    </xf>
    <xf numFmtId="0" fontId="27" fillId="2" borderId="28" xfId="0" applyFont="1" applyFill="1" applyBorder="1" applyAlignment="1">
      <alignment horizontal="center" vertical="center"/>
    </xf>
    <xf numFmtId="0" fontId="27" fillId="2" borderId="5" xfId="0" applyFont="1" applyFill="1" applyBorder="1" applyAlignment="1">
      <alignment horizontal="center" vertical="center"/>
    </xf>
    <xf numFmtId="0" fontId="27" fillId="2" borderId="13" xfId="0" applyFont="1" applyFill="1" applyBorder="1" applyAlignment="1">
      <alignment horizontal="center" vertical="center"/>
    </xf>
    <xf numFmtId="0" fontId="27" fillId="2" borderId="29" xfId="0" applyFont="1" applyFill="1" applyBorder="1" applyAlignment="1">
      <alignment horizontal="center" vertical="center"/>
    </xf>
    <xf numFmtId="0" fontId="22" fillId="2" borderId="11" xfId="0" applyFont="1" applyFill="1" applyBorder="1" applyAlignment="1">
      <alignment horizontal="left" vertical="center"/>
    </xf>
    <xf numFmtId="0" fontId="22" fillId="2" borderId="12" xfId="0" applyFont="1" applyFill="1" applyBorder="1" applyAlignment="1">
      <alignment horizontal="left" vertical="center"/>
    </xf>
    <xf numFmtId="0" fontId="22" fillId="2" borderId="13" xfId="0" applyFont="1" applyFill="1" applyBorder="1" applyAlignment="1">
      <alignment horizontal="left" vertical="center"/>
    </xf>
    <xf numFmtId="0" fontId="18" fillId="3" borderId="1" xfId="0" applyFont="1" applyFill="1" applyBorder="1" applyAlignment="1">
      <alignment horizontal="center" vertical="top"/>
    </xf>
    <xf numFmtId="0" fontId="18" fillId="3" borderId="31" xfId="0" applyFont="1" applyFill="1" applyBorder="1" applyAlignment="1">
      <alignment horizontal="center" vertical="top"/>
    </xf>
    <xf numFmtId="0" fontId="18" fillId="3" borderId="2" xfId="0" applyFont="1" applyFill="1" applyBorder="1" applyAlignment="1">
      <alignment horizontal="center" vertical="top"/>
    </xf>
    <xf numFmtId="0" fontId="21" fillId="2" borderId="15" xfId="0" applyFont="1" applyFill="1" applyBorder="1" applyAlignment="1">
      <alignment horizontal="center" vertical="center"/>
    </xf>
    <xf numFmtId="0" fontId="20" fillId="3" borderId="25" xfId="0" applyFont="1" applyFill="1" applyBorder="1" applyAlignment="1">
      <alignment horizontal="center" vertical="center"/>
    </xf>
    <xf numFmtId="0" fontId="20" fillId="3" borderId="0" xfId="0" applyFont="1" applyFill="1" applyAlignment="1">
      <alignment horizontal="center" vertical="center"/>
    </xf>
    <xf numFmtId="0" fontId="20" fillId="3" borderId="26" xfId="0" applyFont="1" applyFill="1" applyBorder="1" applyAlignment="1">
      <alignment horizontal="center" vertical="center"/>
    </xf>
    <xf numFmtId="0" fontId="20" fillId="3" borderId="3" xfId="0" applyFont="1" applyFill="1" applyBorder="1" applyAlignment="1">
      <alignment horizontal="center" vertical="center"/>
    </xf>
    <xf numFmtId="0" fontId="20" fillId="3" borderId="27" xfId="0" applyFont="1" applyFill="1" applyBorder="1" applyAlignment="1">
      <alignment horizontal="center" vertical="center"/>
    </xf>
    <xf numFmtId="0" fontId="20" fillId="3" borderId="4" xfId="0" applyFont="1" applyFill="1" applyBorder="1" applyAlignment="1">
      <alignment horizontal="center" vertical="center"/>
    </xf>
    <xf numFmtId="0" fontId="21" fillId="2" borderId="57" xfId="0" applyFont="1" applyFill="1" applyBorder="1" applyAlignment="1">
      <alignment horizontal="center" vertical="center"/>
    </xf>
    <xf numFmtId="0" fontId="21" fillId="2" borderId="59" xfId="0" applyFont="1" applyFill="1" applyBorder="1" applyAlignment="1">
      <alignment horizontal="center" vertical="center"/>
    </xf>
    <xf numFmtId="0" fontId="21" fillId="2" borderId="30" xfId="0" applyFont="1" applyFill="1" applyBorder="1" applyAlignment="1">
      <alignment horizontal="center" vertical="center"/>
    </xf>
    <xf numFmtId="0" fontId="21" fillId="2" borderId="21" xfId="0" applyFont="1" applyFill="1" applyBorder="1" applyAlignment="1">
      <alignment horizontal="center" vertical="center"/>
    </xf>
    <xf numFmtId="0" fontId="21" fillId="2" borderId="22" xfId="0" applyFont="1" applyFill="1" applyBorder="1" applyAlignment="1">
      <alignment horizontal="center" vertical="center"/>
    </xf>
    <xf numFmtId="0" fontId="21" fillId="2" borderId="16" xfId="0" applyFont="1" applyFill="1" applyBorder="1" applyAlignment="1">
      <alignment horizontal="center" vertical="center"/>
    </xf>
    <xf numFmtId="0" fontId="21" fillId="2" borderId="51" xfId="0" applyFont="1" applyFill="1" applyBorder="1" applyAlignment="1">
      <alignment horizontal="center" vertical="center"/>
    </xf>
    <xf numFmtId="0" fontId="21" fillId="2" borderId="60" xfId="0" applyFont="1" applyFill="1" applyBorder="1" applyAlignment="1">
      <alignment horizontal="center" vertical="center"/>
    </xf>
    <xf numFmtId="0" fontId="18" fillId="3" borderId="57" xfId="0" applyFont="1" applyFill="1" applyBorder="1" applyAlignment="1">
      <alignment horizontal="center" vertical="top"/>
    </xf>
    <xf numFmtId="0" fontId="18" fillId="3" borderId="58" xfId="0" applyFont="1" applyFill="1" applyBorder="1" applyAlignment="1">
      <alignment horizontal="center" vertical="top"/>
    </xf>
    <xf numFmtId="164" fontId="24" fillId="3" borderId="59" xfId="0" applyNumberFormat="1" applyFont="1" applyFill="1" applyBorder="1" applyAlignment="1">
      <alignment horizontal="center" vertical="center"/>
    </xf>
    <xf numFmtId="164" fontId="24" fillId="3" borderId="27" xfId="0" applyNumberFormat="1" applyFont="1" applyFill="1" applyBorder="1" applyAlignment="1">
      <alignment horizontal="center" vertical="center"/>
    </xf>
    <xf numFmtId="164" fontId="24" fillId="3" borderId="56" xfId="0" applyNumberFormat="1" applyFont="1" applyFill="1" applyBorder="1" applyAlignment="1">
      <alignment horizontal="center" vertical="center"/>
    </xf>
    <xf numFmtId="0" fontId="24" fillId="3" borderId="27" xfId="0" applyFont="1" applyFill="1" applyBorder="1" applyAlignment="1">
      <alignment horizontal="center" vertical="center"/>
    </xf>
    <xf numFmtId="0" fontId="22" fillId="11" borderId="21" xfId="0" applyFont="1" applyFill="1" applyBorder="1" applyAlignment="1">
      <alignment horizontal="center" vertical="center"/>
    </xf>
    <xf numFmtId="0" fontId="22" fillId="11" borderId="50" xfId="0" applyFont="1" applyFill="1" applyBorder="1" applyAlignment="1">
      <alignment horizontal="center" vertical="center"/>
    </xf>
    <xf numFmtId="167" fontId="22" fillId="3" borderId="16" xfId="0" applyNumberFormat="1" applyFont="1" applyFill="1" applyBorder="1" applyAlignment="1">
      <alignment horizontal="center" vertical="center"/>
    </xf>
    <xf numFmtId="167" fontId="22" fillId="3" borderId="60" xfId="0" applyNumberFormat="1" applyFont="1" applyFill="1" applyBorder="1" applyAlignment="1">
      <alignment horizontal="center" vertical="center"/>
    </xf>
    <xf numFmtId="0" fontId="34" fillId="0" borderId="30" xfId="6" applyFont="1" applyBorder="1" applyAlignment="1">
      <alignment horizontal="left" vertical="center" wrapText="1"/>
    </xf>
    <xf numFmtId="0" fontId="34" fillId="0" borderId="21" xfId="6" applyFont="1" applyBorder="1" applyAlignment="1">
      <alignment horizontal="left" vertical="center" wrapText="1"/>
    </xf>
    <xf numFmtId="0" fontId="34" fillId="0" borderId="22" xfId="6" applyFont="1" applyBorder="1" applyAlignment="1">
      <alignment horizontal="left" vertical="center" wrapText="1"/>
    </xf>
    <xf numFmtId="0" fontId="22" fillId="2" borderId="32" xfId="0" applyFont="1" applyFill="1" applyBorder="1" applyAlignment="1">
      <alignment horizontal="center"/>
    </xf>
    <xf numFmtId="0" fontId="22" fillId="2" borderId="34" xfId="0" applyFont="1" applyFill="1" applyBorder="1" applyAlignment="1">
      <alignment horizontal="center"/>
    </xf>
    <xf numFmtId="0" fontId="29" fillId="6" borderId="0" xfId="0" applyFont="1" applyFill="1" applyAlignment="1">
      <alignment horizontal="center" vertical="center" wrapText="1"/>
    </xf>
    <xf numFmtId="0" fontId="29" fillId="6" borderId="26" xfId="0" applyFont="1" applyFill="1" applyBorder="1" applyAlignment="1">
      <alignment horizontal="center" vertical="center" wrapText="1"/>
    </xf>
    <xf numFmtId="0" fontId="29" fillId="4" borderId="0" xfId="0" applyFont="1" applyFill="1" applyAlignment="1">
      <alignment horizontal="center" vertical="top" wrapText="1"/>
    </xf>
    <xf numFmtId="0" fontId="29" fillId="4" borderId="26" xfId="0" applyFont="1" applyFill="1" applyBorder="1" applyAlignment="1">
      <alignment horizontal="center" vertical="top" wrapText="1"/>
    </xf>
    <xf numFmtId="0" fontId="29" fillId="5" borderId="0" xfId="0" applyFont="1" applyFill="1" applyAlignment="1">
      <alignment horizontal="center" vertical="center" wrapText="1"/>
    </xf>
    <xf numFmtId="0" fontId="29" fillId="5" borderId="26" xfId="0" applyFont="1" applyFill="1" applyBorder="1" applyAlignment="1">
      <alignment horizontal="center" vertical="center" wrapText="1"/>
    </xf>
    <xf numFmtId="0" fontId="29" fillId="5" borderId="27" xfId="0" applyFont="1" applyFill="1" applyBorder="1" applyAlignment="1">
      <alignment horizontal="center" vertical="center" wrapText="1"/>
    </xf>
    <xf numFmtId="0" fontId="29" fillId="5" borderId="4" xfId="0" applyFont="1" applyFill="1" applyBorder="1" applyAlignment="1">
      <alignment horizontal="center" vertical="center" wrapText="1"/>
    </xf>
    <xf numFmtId="0" fontId="21" fillId="0" borderId="63" xfId="0" applyFont="1" applyBorder="1" applyAlignment="1">
      <alignment horizontal="center" vertical="center"/>
    </xf>
    <xf numFmtId="0" fontId="21" fillId="2" borderId="11" xfId="0" applyFont="1" applyFill="1" applyBorder="1" applyAlignment="1">
      <alignment horizontal="center" vertical="center"/>
    </xf>
    <xf numFmtId="0" fontId="21" fillId="2" borderId="12" xfId="0" applyFont="1" applyFill="1" applyBorder="1" applyAlignment="1">
      <alignment horizontal="center" vertical="center"/>
    </xf>
    <xf numFmtId="0" fontId="21" fillId="2" borderId="14" xfId="0" applyFont="1" applyFill="1" applyBorder="1" applyAlignment="1">
      <alignment horizontal="center" vertical="center"/>
    </xf>
    <xf numFmtId="0" fontId="6" fillId="3" borderId="0" xfId="1" applyFont="1" applyFill="1" applyAlignment="1">
      <alignment horizontal="center" vertical="center" textRotation="90"/>
    </xf>
    <xf numFmtId="0" fontId="10" fillId="3" borderId="9" xfId="1" applyFont="1" applyFill="1" applyBorder="1" applyAlignment="1">
      <alignment horizontal="left" vertical="top" wrapText="1"/>
    </xf>
    <xf numFmtId="0" fontId="13" fillId="9" borderId="5" xfId="1" applyFont="1" applyFill="1" applyBorder="1" applyAlignment="1">
      <alignment horizontal="center" vertical="center" wrapText="1"/>
    </xf>
    <xf numFmtId="0" fontId="13" fillId="9" borderId="19" xfId="1" applyFont="1" applyFill="1" applyBorder="1" applyAlignment="1">
      <alignment horizontal="center" vertical="center" wrapText="1"/>
    </xf>
    <xf numFmtId="0" fontId="13" fillId="9" borderId="10" xfId="1" applyFont="1" applyFill="1" applyBorder="1" applyAlignment="1">
      <alignment horizontal="center" vertical="center" wrapText="1"/>
    </xf>
    <xf numFmtId="0" fontId="13" fillId="9" borderId="40" xfId="1" applyFont="1" applyFill="1" applyBorder="1" applyAlignment="1">
      <alignment horizontal="center" vertical="center" wrapText="1"/>
    </xf>
    <xf numFmtId="0" fontId="13" fillId="9" borderId="39" xfId="1" applyFont="1" applyFill="1" applyBorder="1" applyAlignment="1">
      <alignment horizontal="center" vertical="center" wrapText="1"/>
    </xf>
    <xf numFmtId="0" fontId="13" fillId="9" borderId="37" xfId="1" applyFont="1" applyFill="1" applyBorder="1" applyAlignment="1">
      <alignment horizontal="center" vertical="center" wrapText="1"/>
    </xf>
    <xf numFmtId="0" fontId="13" fillId="9" borderId="36" xfId="1" applyFont="1" applyFill="1" applyBorder="1" applyAlignment="1">
      <alignment horizontal="center" vertical="center" wrapText="1"/>
    </xf>
    <xf numFmtId="0" fontId="13" fillId="9" borderId="6" xfId="1" applyFont="1" applyFill="1" applyBorder="1" applyAlignment="1">
      <alignment horizontal="center" vertical="center" wrapText="1"/>
    </xf>
    <xf numFmtId="0" fontId="13" fillId="9" borderId="7" xfId="1" applyFont="1" applyFill="1" applyBorder="1" applyAlignment="1">
      <alignment horizontal="center" vertical="center" wrapText="1"/>
    </xf>
    <xf numFmtId="0" fontId="13" fillId="9" borderId="8" xfId="1" applyFont="1" applyFill="1" applyBorder="1" applyAlignment="1">
      <alignment horizontal="center" vertical="center" wrapText="1"/>
    </xf>
    <xf numFmtId="0" fontId="8" fillId="9" borderId="5" xfId="1" applyFont="1" applyFill="1" applyBorder="1" applyAlignment="1">
      <alignment horizontal="center" vertical="center" wrapText="1"/>
    </xf>
    <xf numFmtId="0" fontId="8" fillId="9" borderId="5" xfId="1" applyFont="1" applyFill="1" applyBorder="1" applyAlignment="1">
      <alignment horizontal="center" vertical="center"/>
    </xf>
    <xf numFmtId="0" fontId="8" fillId="9" borderId="40" xfId="1" applyFont="1" applyFill="1" applyBorder="1" applyAlignment="1">
      <alignment horizontal="center" vertical="center"/>
    </xf>
    <xf numFmtId="0" fontId="8" fillId="9" borderId="39" xfId="1" applyFont="1" applyFill="1" applyBorder="1" applyAlignment="1">
      <alignment horizontal="center" vertical="center"/>
    </xf>
    <xf numFmtId="0" fontId="8" fillId="9" borderId="37" xfId="1" applyFont="1" applyFill="1" applyBorder="1" applyAlignment="1">
      <alignment horizontal="center" vertical="center"/>
    </xf>
    <xf numFmtId="0" fontId="8" fillId="9" borderId="36" xfId="1" applyFont="1" applyFill="1" applyBorder="1" applyAlignment="1">
      <alignment horizontal="center" vertical="center"/>
    </xf>
    <xf numFmtId="0" fontId="4" fillId="7" borderId="41" xfId="1" applyFont="1" applyFill="1" applyBorder="1" applyAlignment="1">
      <alignment horizontal="left" vertical="top" wrapText="1"/>
    </xf>
    <xf numFmtId="0" fontId="4" fillId="7" borderId="38" xfId="1" applyFont="1" applyFill="1" applyBorder="1" applyAlignment="1">
      <alignment horizontal="left" vertical="top"/>
    </xf>
    <xf numFmtId="0" fontId="4" fillId="7" borderId="35" xfId="1" applyFont="1" applyFill="1" applyBorder="1" applyAlignment="1">
      <alignment horizontal="left" vertical="top"/>
    </xf>
    <xf numFmtId="0" fontId="2" fillId="0" borderId="45" xfId="2" applyBorder="1" applyAlignment="1">
      <alignment horizontal="left"/>
    </xf>
    <xf numFmtId="0" fontId="2" fillId="0" borderId="44" xfId="2" applyBorder="1" applyAlignment="1">
      <alignment horizontal="left"/>
    </xf>
    <xf numFmtId="0" fontId="1" fillId="0" borderId="33" xfId="2" applyFont="1" applyBorder="1" applyAlignment="1">
      <alignment horizontal="left" vertical="top" wrapText="1"/>
    </xf>
    <xf numFmtId="0" fontId="1" fillId="0" borderId="34" xfId="2" applyFont="1" applyBorder="1" applyAlignment="1">
      <alignment horizontal="left" vertical="top" wrapText="1"/>
    </xf>
    <xf numFmtId="0" fontId="15" fillId="3" borderId="0" xfId="3" applyFont="1" applyFill="1" applyAlignment="1">
      <alignment horizontal="left" vertical="top" wrapText="1"/>
    </xf>
  </cellXfs>
  <cellStyles count="7">
    <cellStyle name="Hyperlink" xfId="6" builtinId="8"/>
    <cellStyle name="Normal" xfId="0" builtinId="0"/>
    <cellStyle name="Normal 2" xfId="3" xr:uid="{1468DFB7-A64F-4035-94D4-B26D6719AA58}"/>
    <cellStyle name="Normal 5" xfId="1" xr:uid="{FCA6291F-B1B5-4393-9EF3-EC64E6B24D7E}"/>
    <cellStyle name="Normal 6" xfId="4" xr:uid="{A874667F-4440-4C4D-8D9F-05A9C42EA0A8}"/>
    <cellStyle name="Normal 6 2" xfId="5" xr:uid="{049A8025-3F63-49AB-8569-4C36518D5D3A}"/>
    <cellStyle name="Normal 7" xfId="2" xr:uid="{5BD2A739-AC44-4DBF-ADD1-83404A51650C}"/>
  </cellStyles>
  <dxfs count="10">
    <dxf>
      <fill>
        <patternFill>
          <bgColor rgb="FF00B050"/>
        </patternFill>
      </fill>
    </dxf>
    <dxf>
      <fill>
        <patternFill>
          <bgColor rgb="FF0070C0"/>
        </patternFill>
      </fill>
    </dxf>
    <dxf>
      <fill>
        <patternFill>
          <bgColor rgb="FFFF0000"/>
        </patternFill>
      </fill>
    </dxf>
    <dxf>
      <fill>
        <patternFill>
          <bgColor rgb="FF0070C0"/>
        </patternFill>
      </fill>
    </dxf>
    <dxf>
      <fill>
        <patternFill>
          <bgColor rgb="FF0070C0"/>
        </patternFill>
      </fill>
    </dxf>
    <dxf>
      <fill>
        <patternFill>
          <bgColor rgb="FF00B050"/>
        </patternFill>
      </fill>
    </dxf>
    <dxf>
      <fill>
        <patternFill>
          <bgColor rgb="FFFF000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s>
  <tableStyles count="0" defaultTableStyle="TableStyleMedium2" defaultPivotStyle="PivotStyleLight16"/>
  <colors>
    <mruColors>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7</xdr:row>
          <xdr:rowOff>31750</xdr:rowOff>
        </xdr:from>
        <xdr:to>
          <xdr:col>2</xdr:col>
          <xdr:colOff>241300</xdr:colOff>
          <xdr:row>7</xdr:row>
          <xdr:rowOff>190500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FieldCore Employees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7</xdr:row>
          <xdr:rowOff>31750</xdr:rowOff>
        </xdr:from>
        <xdr:to>
          <xdr:col>5</xdr:col>
          <xdr:colOff>88900</xdr:colOff>
          <xdr:row>7</xdr:row>
          <xdr:rowOff>190500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GE Employees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7</xdr:row>
          <xdr:rowOff>31750</xdr:rowOff>
        </xdr:from>
        <xdr:to>
          <xdr:col>9</xdr:col>
          <xdr:colOff>222250</xdr:colOff>
          <xdr:row>7</xdr:row>
          <xdr:rowOff>190500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Customer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7</xdr:row>
          <xdr:rowOff>31750</xdr:rowOff>
        </xdr:from>
        <xdr:to>
          <xdr:col>11</xdr:col>
          <xdr:colOff>781050</xdr:colOff>
          <xdr:row>7</xdr:row>
          <xdr:rowOff>190500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Contractors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7</xdr:row>
          <xdr:rowOff>31750</xdr:rowOff>
        </xdr:from>
        <xdr:to>
          <xdr:col>12</xdr:col>
          <xdr:colOff>247650</xdr:colOff>
          <xdr:row>7</xdr:row>
          <xdr:rowOff>190500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Affiliates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165100</xdr:colOff>
          <xdr:row>7</xdr:row>
          <xdr:rowOff>31750</xdr:rowOff>
        </xdr:from>
        <xdr:to>
          <xdr:col>15</xdr:col>
          <xdr:colOff>488950</xdr:colOff>
          <xdr:row>7</xdr:row>
          <xdr:rowOff>190500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Public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6</xdr:row>
          <xdr:rowOff>165100</xdr:rowOff>
        </xdr:from>
        <xdr:to>
          <xdr:col>17</xdr:col>
          <xdr:colOff>95250</xdr:colOff>
          <xdr:row>7</xdr:row>
          <xdr:rowOff>203200</xdr:rowOff>
        </xdr:to>
        <xdr:sp macro="" textlink="">
          <xdr:nvSpPr>
            <xdr:cNvPr id="1039" name="Check Box 15" descr="FieldCore Employees"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Others (Specify)</a:t>
              </a:r>
            </a:p>
          </xdr:txBody>
        </xdr:sp>
        <xdr:clientData fLocksWithSheet="0"/>
      </xdr:twoCellAnchor>
    </mc:Choice>
    <mc:Fallback/>
  </mc:AlternateContent>
  <xdr:twoCellAnchor editAs="oneCell">
    <xdr:from>
      <xdr:col>0</xdr:col>
      <xdr:colOff>43962</xdr:colOff>
      <xdr:row>0</xdr:row>
      <xdr:rowOff>29309</xdr:rowOff>
    </xdr:from>
    <xdr:to>
      <xdr:col>2</xdr:col>
      <xdr:colOff>608135</xdr:colOff>
      <xdr:row>3</xdr:row>
      <xdr:rowOff>36636</xdr:rowOff>
    </xdr:to>
    <xdr:pic>
      <xdr:nvPicPr>
        <xdr:cNvPr id="3" name="Picture 2">
          <a:extLst>
            <a:ext uri="{FF2B5EF4-FFF2-40B4-BE49-F238E27FC236}">
              <a16:creationId xmlns:a16="http://schemas.microsoft.com/office/drawing/2014/main" id="{EAA901E5-3DFA-45C3-9FB1-362AE7726214}"/>
            </a:ext>
          </a:extLst>
        </xdr:cNvPr>
        <xdr:cNvPicPr>
          <a:picLocks noChangeAspect="1"/>
        </xdr:cNvPicPr>
      </xdr:nvPicPr>
      <xdr:blipFill>
        <a:blip xmlns:r="http://schemas.openxmlformats.org/officeDocument/2006/relationships" r:embed="rId1"/>
        <a:stretch>
          <a:fillRect/>
        </a:stretch>
      </xdr:blipFill>
      <xdr:spPr>
        <a:xfrm>
          <a:off x="43962" y="29309"/>
          <a:ext cx="1538654" cy="46159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po-mydrive.ge.com/Users/605014893/AppData/Local/Microsoft/Windows/INetCache/Content.Outlook/PPLORWVY/0.%20HHI%20-Mini.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605014893/AppData/Local/Microsoft/Windows/INetCache/Content.Outlook/PPLORWVY/0.%20HHI%20-Mini.xlsx" TargetMode="External"/><Relationship Id="rId1" Type="http://schemas.openxmlformats.org/officeDocument/2006/relationships/externalLinkPath" Target="/Users/605014893/AppData/Local/Microsoft/Windows/INetCache/Content.Outlook/PPLORWVY/0.%20HHI%20-Mini.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spo-teamsite.ge.com/GEEHS/105043958/2-%20Thermal/Bouchain/EHS-Contractor%20Evaluation%20&amp;%20Site%20Audits-Rev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lobal HHI"/>
      <sheetName val="RIsk Matrix"/>
      <sheetName val="ChemHazSeverity"/>
      <sheetName val="GHS Hazard Statements"/>
      <sheetName val="Project HHI(Example)"/>
      <sheetName val="Data - Project"/>
      <sheetName val="Data - HRA"/>
    </sheetNames>
    <sheetDataSet>
      <sheetData sheetId="0"/>
      <sheetData sheetId="1" refreshError="1"/>
      <sheetData sheetId="2" refreshError="1"/>
      <sheetData sheetId="3" refreshError="1"/>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Global HHI"/>
      <sheetName val="RIsk Matrix"/>
      <sheetName val="ChemHazSeverity"/>
      <sheetName val="GHS Hazard Statements"/>
      <sheetName val="Project HHI(Example)"/>
      <sheetName val="Data - Project"/>
      <sheetName val="Data - HRA"/>
    </sheetNames>
    <sheetDataSet>
      <sheetData sheetId="0"/>
      <sheetData sheetId="1" refreshError="1"/>
      <sheetData sheetId="2" refreshError="1"/>
      <sheetData sheetId="3" refreshError="1"/>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formancesDataSheet"/>
      <sheetName val="Weekly Site Inspection"/>
      <sheetName val="Performance Evaluation"/>
      <sheetName val="Corporate Audit"/>
    </sheet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hyperlink" Target="https://spo-teamsite.ge.com/:x:/r/sites/fieldcore/functions/ehs/_layouts/15/Doc.aspx?sourcedoc=%7B60FB08D9-86E3-425E-ACD4-56E574934B0E%7D&amp;file=IH%20TRA%20-%20IH05%20-%20Radiation%20-%20Nuclear%20-%20Ionising%20-%20Issue%201.xlsm&amp;action=default&amp;mobileredirect=true" TargetMode="External"/><Relationship Id="rId13" Type="http://schemas.openxmlformats.org/officeDocument/2006/relationships/hyperlink" Target="https://spo-teamsite.ge.com/:x:/r/sites/fieldcore/functions/ehs/_layouts/15/Doc.aspx?sourcedoc=%7B36A4FC4A-BC44-465C-B42B-02B6242EB8A2%7D&amp;file=IH%20TRA%20-%20IH09%20-%20Heavy%20Metalwork%20inc.%20Welding%2C%20Brazing%20etc%20-%20Issue%201.xlsm&amp;action=default&amp;mobileredirect=true" TargetMode="External"/><Relationship Id="rId3" Type="http://schemas.openxmlformats.org/officeDocument/2006/relationships/hyperlink" Target="https://spo-teamsite.ge.com/sites/fieldcore/functions/ehs/EHS%20QMS%20PROCEDURES%20Library/Forms/QMS%20Library.aspx?id=%2Fsites%2Ffieldcore%2Ffunctions%2Fehs%2FEHS%20QMS%20PROCEDURES%20Library%2F0501%20%2D%20Risk%20Management%2FIndustrial%20Hygiene%20TRA%27s&amp;viewid=3e4605dd%2Dfbd8%2D4ce0%2Dbd82%2D98492f3824b8" TargetMode="External"/><Relationship Id="rId7" Type="http://schemas.openxmlformats.org/officeDocument/2006/relationships/hyperlink" Target="https://spo-teamsite.ge.com/:x:/r/sites/fieldcore/functions/ehs/_layouts/15/Doc.aspx?sourcedoc=%7B36A4FC4A-BC44-465C-B42B-02B6242EB8A2%7D&amp;file=IH%20TRA%20-%20IH09%20-%20Heavy%20Metalwork%20inc.%20Welding%2C%20Brazing%20etc%20-%20Issue%201.xlsm&amp;action=default&amp;mobileredirect=true" TargetMode="External"/><Relationship Id="rId12" Type="http://schemas.openxmlformats.org/officeDocument/2006/relationships/hyperlink" Target="https://spo-teamsite.ge.com/:x:/r/sites/fieldcore/functions/ehs/_layouts/15/Doc.aspx?sourcedoc=%7BEFB4354E-4321-4E58-A843-783D45FABBD2%7D&amp;file=IH%20TRA%20-%20IH07%20-%20Chemicals%20-%20Issue%201.xlsm&amp;action=default&amp;mobileredirect=true" TargetMode="External"/><Relationship Id="rId17" Type="http://schemas.openxmlformats.org/officeDocument/2006/relationships/printerSettings" Target="../printerSettings/printerSettings2.bin"/><Relationship Id="rId2" Type="http://schemas.openxmlformats.org/officeDocument/2006/relationships/hyperlink" Target="https://spo-teamsite.ge.com/:x:/r/sites/fieldcore/functions/ehs/_layouts/15/Doc.aspx?sourcedoc=%7B43A1E4B5-6AFF-40DB-8B2D-3F001FF1BE08%7D&amp;file=IH%20TRA%20-%20IH14%20-%20Ergonomics%20-%20Computer%20Use%20-%20Issue%201.xlsm&amp;action=default&amp;mobileredirect=true" TargetMode="External"/><Relationship Id="rId16" Type="http://schemas.openxmlformats.org/officeDocument/2006/relationships/hyperlink" Target="https://spo-teamsite.ge.com/sites/fieldcore/functions/ehs/EHS%20QMS%20PROCEDURES%20Library/Forms/QMS%20Library.aspx?id=%2Fsites%2Ffieldcore%2Ffunctions%2Fehs%2FEHS%20QMS%20PROCEDURES%20Library%2F0501%20%2D%20Risk%20Management%2FIndustrial%20Hygiene%20TRA%27s&amp;viewid=3e4605dd%2Dfbd8%2D4ce0%2Dbd82%2D98492f3824b8" TargetMode="External"/><Relationship Id="rId1" Type="http://schemas.openxmlformats.org/officeDocument/2006/relationships/hyperlink" Target="https://spo-teamsite.ge.com/:x:/r/sites/fieldcore/functions/ehs/_layouts/15/Doc.aspx?sourcedoc=%7B19DA1EE1-402A-4CCE-8B20-5B3216B5F8BD%7D&amp;file=IH%20TRA%20-%20IH08%20-%20Asbestos%20-%20Issue%201.xlsm&amp;action=default&amp;mobileredirect=true" TargetMode="External"/><Relationship Id="rId6" Type="http://schemas.openxmlformats.org/officeDocument/2006/relationships/hyperlink" Target="https://spo-teamsite.ge.com/sites/fieldcore/functions/ehs/OneEHS%20Projects%20and%20Services%20Plan/Forms/QMS%20Library.aspx?id=%2Fsites%2Ffieldcore%2Ffunctions%2Fehs%2FOneEHS%20Projects%20and%20Services%20Plan%2F1%20Field%20Services%20EHS%20Projects%20and%20Services%20Plan%2FEnglish%201FS%20P%20%26%20S%20Plan%20%28v6%2E1%29&amp;viewid=4590d867%2D61ac%2D4a55%2Db80f%2De429be33cafb" TargetMode="External"/><Relationship Id="rId11" Type="http://schemas.openxmlformats.org/officeDocument/2006/relationships/hyperlink" Target="https://spo-teamsite.ge.com/:x:/r/sites/fieldcore/functions/ehs/_layouts/15/Doc.aspx?sourcedoc=%7B6A13461C-3CB6-451C-9BC8-45A15E88848E%7D&amp;file=IH%20TRA%20-%20IH06%20-%20EMF%20Radiation%20-%20Non-Ionising%20-%20Issue%201.xlsm&amp;action=default&amp;mobileredirect=true" TargetMode="External"/><Relationship Id="rId5" Type="http://schemas.openxmlformats.org/officeDocument/2006/relationships/hyperlink" Target="https://spo-teamsite.ge.com/:x:/r/sites/fieldcore/functions/ehs/_layouts/15/Doc.aspx?sourcedoc=%7BE3BEDC8C-A23D-491F-ADB9-3879683C5A75%7D&amp;file=IH%20TRA%20-%20IH02%20-%20Noise%20-%20Issue%201.xlsm&amp;action=default&amp;mobileredirect=true" TargetMode="External"/><Relationship Id="rId15" Type="http://schemas.openxmlformats.org/officeDocument/2006/relationships/hyperlink" Target="https://spo-teamsite.ge.com/:x:/r/sites/fieldcore/functions/ehs/_layouts/15/Doc.aspx?sourcedoc=%7B5DE67EA4-70D7-4B0B-93E8-D4EBDF6F3D89%7D&amp;file=IH%20TRA%20-%20IH10%20-%20Fatigue%20-%20Issue%201.xlsm&amp;action=default&amp;mobileredirect=true" TargetMode="External"/><Relationship Id="rId10" Type="http://schemas.openxmlformats.org/officeDocument/2006/relationships/hyperlink" Target="https://spo-teamsite.ge.com/:x:/r/sites/fieldcore/functions/ehs/_layouts/15/Doc.aspx?sourcedoc=%7B17898913-5DBD-4853-A249-30D0FE118E8C%7D&amp;file=IH%20TRA%20-%20IH11%20-%20Stress%20%26%20Psychological%20-%20Issue%201.xlsm&amp;action=default&amp;mobileredirect=true" TargetMode="External"/><Relationship Id="rId4" Type="http://schemas.openxmlformats.org/officeDocument/2006/relationships/hyperlink" Target="https://spo-teamsite.ge.com/:x:/r/sites/fieldcore/functions/ehs/_layouts/15/Doc.aspx?sourcedoc=%7BCAAD5D9A-3644-438F-A9E5-2F5AC86D97ED%7D&amp;file=IH%20TRA%20-%20IH15%20-%20Ergonomics%20-%20Manual%20Handing%20-%20Issue%201.xlsm&amp;action=default&amp;mobileredirect=true" TargetMode="External"/><Relationship Id="rId9" Type="http://schemas.openxmlformats.org/officeDocument/2006/relationships/hyperlink" Target="https://spo-teamsite.ge.com/:x:/r/sites/fieldcore/functions/ehs/_layouts/15/Doc.aspx?sourcedoc=%7B6A13461C-3CB6-451C-9BC8-45A15E88848E%7D&amp;file=IH%20TRA%20-%20IH06%20-%20EMF%20Radiation%20-%20Non-Ionising%20-%20Issue%201.xlsm&amp;action=default&amp;mobileredirect=true" TargetMode="External"/><Relationship Id="rId14" Type="http://schemas.openxmlformats.org/officeDocument/2006/relationships/hyperlink" Target="https://spo-teamsite.ge.com/:f:/r/sites/fieldcore/functions/ehs/EHS%20Risk%20Management/Task%20Risk%20Assessments/IH%20Risk%20Assessments?csf=1&amp;web=1&amp;e=fbTxgy"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0E613-2BA9-4A9E-AA8C-704C831FEB74}">
  <sheetPr codeName="Sheet11"/>
  <dimension ref="A1:Z68"/>
  <sheetViews>
    <sheetView tabSelected="1" topLeftCell="A4" zoomScale="130" zoomScaleNormal="130" workbookViewId="0">
      <selection activeCell="A9" sqref="A9:Y9"/>
    </sheetView>
  </sheetViews>
  <sheetFormatPr defaultColWidth="0" defaultRowHeight="14.45" zeroHeight="1"/>
  <cols>
    <col min="1" max="1" width="2.42578125" style="81" customWidth="1"/>
    <col min="2" max="2" width="12.140625" style="81" customWidth="1"/>
    <col min="3" max="3" width="9.85546875" style="81" customWidth="1"/>
    <col min="4" max="4" width="8.140625" style="81" customWidth="1"/>
    <col min="5" max="6" width="2.85546875" style="81" customWidth="1"/>
    <col min="7" max="7" width="4.42578125" style="81" customWidth="1"/>
    <col min="8" max="8" width="5.140625" style="81" customWidth="1"/>
    <col min="9" max="9" width="4.28515625" style="81" customWidth="1"/>
    <col min="10" max="11" width="4" style="81" customWidth="1"/>
    <col min="12" max="12" width="22.7109375" style="81" customWidth="1"/>
    <col min="13" max="13" width="4.140625" style="82" customWidth="1"/>
    <col min="14" max="14" width="3.7109375" style="82" customWidth="1"/>
    <col min="15" max="15" width="4.140625" style="82" customWidth="1"/>
    <col min="16" max="16" width="10" style="82" customWidth="1"/>
    <col min="17" max="17" width="8.85546875" style="82" customWidth="1"/>
    <col min="18" max="18" width="2.5703125" style="82" customWidth="1"/>
    <col min="19" max="19" width="2.85546875" style="82" customWidth="1"/>
    <col min="20" max="24" width="2.85546875" style="80" customWidth="1"/>
    <col min="25" max="25" width="9.42578125" style="80" customWidth="1"/>
    <col min="26" max="26" width="0.42578125" style="74" customWidth="1"/>
    <col min="27" max="16384" width="9.140625" hidden="1"/>
  </cols>
  <sheetData>
    <row r="1" spans="1:26" ht="9" customHeight="1">
      <c r="A1" s="228"/>
      <c r="B1" s="229"/>
      <c r="C1" s="230"/>
      <c r="D1" s="243" t="s">
        <v>0</v>
      </c>
      <c r="E1" s="244"/>
      <c r="F1" s="244"/>
      <c r="G1" s="244"/>
      <c r="H1" s="244"/>
      <c r="I1" s="244"/>
      <c r="J1" s="244"/>
      <c r="K1" s="244"/>
      <c r="L1" s="244"/>
      <c r="M1" s="244"/>
      <c r="N1" s="244"/>
      <c r="O1" s="245"/>
      <c r="P1" s="218" t="s">
        <v>1</v>
      </c>
      <c r="Q1" s="219"/>
      <c r="R1" s="219"/>
      <c r="S1" s="219"/>
      <c r="T1" s="219"/>
      <c r="U1" s="219"/>
      <c r="V1" s="219"/>
      <c r="W1" s="219"/>
      <c r="X1" s="219"/>
      <c r="Y1" s="220"/>
    </row>
    <row r="2" spans="1:26" ht="17.25" customHeight="1" thickBot="1">
      <c r="A2" s="231"/>
      <c r="B2" s="232"/>
      <c r="C2" s="233"/>
      <c r="D2" s="247" t="s">
        <v>2</v>
      </c>
      <c r="E2" s="248"/>
      <c r="F2" s="248"/>
      <c r="G2" s="248"/>
      <c r="H2" s="248"/>
      <c r="I2" s="248"/>
      <c r="J2" s="248"/>
      <c r="K2" s="248"/>
      <c r="L2" s="248"/>
      <c r="M2" s="248"/>
      <c r="N2" s="248"/>
      <c r="O2" s="249"/>
      <c r="P2" s="221" t="s">
        <v>3</v>
      </c>
      <c r="Q2" s="222"/>
      <c r="R2" s="222"/>
      <c r="S2" s="222"/>
      <c r="T2" s="222"/>
      <c r="U2" s="222"/>
      <c r="V2" s="222"/>
      <c r="W2" s="222"/>
      <c r="X2" s="222"/>
      <c r="Y2" s="223"/>
    </row>
    <row r="3" spans="1:26" ht="9" customHeight="1">
      <c r="A3" s="231"/>
      <c r="B3" s="232"/>
      <c r="C3" s="233"/>
      <c r="D3" s="247"/>
      <c r="E3" s="248"/>
      <c r="F3" s="248"/>
      <c r="G3" s="248"/>
      <c r="H3" s="248"/>
      <c r="I3" s="248"/>
      <c r="J3" s="248"/>
      <c r="K3" s="248"/>
      <c r="L3" s="248"/>
      <c r="M3" s="248"/>
      <c r="N3" s="248"/>
      <c r="O3" s="249"/>
      <c r="P3" s="88" t="s">
        <v>4</v>
      </c>
      <c r="Q3" s="261" t="s">
        <v>5</v>
      </c>
      <c r="R3" s="262"/>
      <c r="S3" s="261" t="s">
        <v>6</v>
      </c>
      <c r="T3" s="244"/>
      <c r="U3" s="244"/>
      <c r="V3" s="244"/>
      <c r="W3" s="262"/>
      <c r="X3" s="261" t="s">
        <v>7</v>
      </c>
      <c r="Y3" s="245"/>
    </row>
    <row r="4" spans="1:26" ht="12.95" customHeight="1" thickBot="1">
      <c r="A4" s="231"/>
      <c r="B4" s="232"/>
      <c r="C4" s="233"/>
      <c r="D4" s="250"/>
      <c r="E4" s="251"/>
      <c r="F4" s="251"/>
      <c r="G4" s="251"/>
      <c r="H4" s="251"/>
      <c r="I4" s="251"/>
      <c r="J4" s="251"/>
      <c r="K4" s="251"/>
      <c r="L4" s="251"/>
      <c r="M4" s="251"/>
      <c r="N4" s="251"/>
      <c r="O4" s="252"/>
      <c r="P4" s="89" t="s">
        <v>8</v>
      </c>
      <c r="Q4" s="185">
        <v>9</v>
      </c>
      <c r="R4" s="266"/>
      <c r="S4" s="263">
        <v>46072</v>
      </c>
      <c r="T4" s="264"/>
      <c r="U4" s="264"/>
      <c r="V4" s="264"/>
      <c r="W4" s="265"/>
      <c r="X4" s="185" t="s">
        <v>9</v>
      </c>
      <c r="Y4" s="186"/>
    </row>
    <row r="5" spans="1:26" ht="13.5" customHeight="1">
      <c r="A5" s="240" t="s">
        <v>10</v>
      </c>
      <c r="B5" s="241"/>
      <c r="C5" s="241"/>
      <c r="D5" s="241"/>
      <c r="E5" s="241"/>
      <c r="F5" s="242"/>
      <c r="G5" s="208" t="s">
        <v>11</v>
      </c>
      <c r="H5" s="209"/>
      <c r="I5" s="209"/>
      <c r="J5" s="209"/>
      <c r="K5" s="209"/>
      <c r="L5" s="209"/>
      <c r="M5" s="205" t="s">
        <v>12</v>
      </c>
      <c r="N5" s="206"/>
      <c r="O5" s="207"/>
      <c r="P5" s="187" t="s">
        <v>13</v>
      </c>
      <c r="Q5" s="188"/>
      <c r="R5" s="188"/>
      <c r="S5" s="188"/>
      <c r="T5" s="189"/>
      <c r="U5" s="216" t="s">
        <v>14</v>
      </c>
      <c r="V5" s="267"/>
      <c r="W5" s="268"/>
      <c r="X5" s="216" t="s">
        <v>15</v>
      </c>
      <c r="Y5" s="217"/>
    </row>
    <row r="6" spans="1:26" ht="13.5" customHeight="1" thickBot="1">
      <c r="A6" s="202"/>
      <c r="B6" s="203"/>
      <c r="C6" s="203"/>
      <c r="D6" s="203"/>
      <c r="E6" s="203"/>
      <c r="F6" s="204"/>
      <c r="G6" s="202"/>
      <c r="H6" s="203"/>
      <c r="I6" s="203"/>
      <c r="J6" s="203"/>
      <c r="K6" s="203"/>
      <c r="L6" s="210"/>
      <c r="M6" s="190" t="s">
        <v>16</v>
      </c>
      <c r="N6" s="191"/>
      <c r="O6" s="211"/>
      <c r="P6" s="202"/>
      <c r="Q6" s="203"/>
      <c r="R6" s="203"/>
      <c r="S6" s="203"/>
      <c r="T6" s="203"/>
      <c r="U6" s="190" t="str">
        <f>M6</f>
        <v>nn</v>
      </c>
      <c r="V6" s="191"/>
      <c r="W6" s="192"/>
      <c r="X6" s="269"/>
      <c r="Y6" s="270"/>
    </row>
    <row r="7" spans="1:26" ht="13.5" customHeight="1" thickBot="1">
      <c r="A7" s="224" t="s">
        <v>17</v>
      </c>
      <c r="B7" s="225"/>
      <c r="C7" s="225"/>
      <c r="D7" s="225"/>
      <c r="E7" s="225"/>
      <c r="F7" s="225"/>
      <c r="G7" s="225"/>
      <c r="H7" s="225"/>
      <c r="I7" s="225"/>
      <c r="J7" s="225"/>
      <c r="K7" s="225"/>
      <c r="L7" s="225"/>
      <c r="M7" s="225"/>
      <c r="N7" s="225"/>
      <c r="O7" s="225"/>
      <c r="P7" s="225"/>
      <c r="Q7" s="225"/>
      <c r="R7" s="225"/>
      <c r="S7" s="225"/>
      <c r="T7" s="225"/>
      <c r="U7" s="225"/>
      <c r="V7" s="225"/>
      <c r="W7" s="225"/>
      <c r="X7" s="225"/>
      <c r="Y7" s="226"/>
    </row>
    <row r="8" spans="1:26" ht="40.5" customHeight="1" thickBot="1">
      <c r="A8" s="212"/>
      <c r="B8" s="213"/>
      <c r="C8" s="213"/>
      <c r="D8" s="77"/>
      <c r="E8" s="77"/>
      <c r="F8" s="77"/>
      <c r="G8" s="77"/>
      <c r="H8" s="77"/>
      <c r="I8" s="77"/>
      <c r="J8" s="77"/>
      <c r="K8" s="77"/>
      <c r="L8" s="77"/>
      <c r="M8" s="77"/>
      <c r="N8" s="77"/>
      <c r="O8" s="77"/>
      <c r="P8" s="77"/>
      <c r="Q8" s="77"/>
      <c r="R8" s="214"/>
      <c r="S8" s="214"/>
      <c r="T8" s="214"/>
      <c r="U8" s="214"/>
      <c r="V8" s="214"/>
      <c r="W8" s="214"/>
      <c r="X8" s="214"/>
      <c r="Y8" s="215"/>
      <c r="Z8"/>
    </row>
    <row r="9" spans="1:26" ht="65.099999999999994" customHeight="1" thickBot="1">
      <c r="A9" s="199" t="s">
        <v>18</v>
      </c>
      <c r="B9" s="200"/>
      <c r="C9" s="200"/>
      <c r="D9" s="200"/>
      <c r="E9" s="200"/>
      <c r="F9" s="200"/>
      <c r="G9" s="200"/>
      <c r="H9" s="200"/>
      <c r="I9" s="200"/>
      <c r="J9" s="200"/>
      <c r="K9" s="200"/>
      <c r="L9" s="200"/>
      <c r="M9" s="200"/>
      <c r="N9" s="200"/>
      <c r="O9" s="200"/>
      <c r="P9" s="200"/>
      <c r="Q9" s="200"/>
      <c r="R9" s="200"/>
      <c r="S9" s="200"/>
      <c r="T9" s="200"/>
      <c r="U9" s="200"/>
      <c r="V9" s="200"/>
      <c r="W9" s="200"/>
      <c r="X9" s="200"/>
      <c r="Y9" s="201"/>
      <c r="Z9"/>
    </row>
    <row r="10" spans="1:26" ht="11.1" customHeight="1" thickBot="1">
      <c r="A10" s="234" t="s">
        <v>19</v>
      </c>
      <c r="B10" s="235"/>
      <c r="C10" s="235" t="s">
        <v>20</v>
      </c>
      <c r="D10" s="238"/>
      <c r="E10" s="52"/>
      <c r="F10" s="227" t="s">
        <v>21</v>
      </c>
      <c r="G10" s="227"/>
      <c r="H10" s="227"/>
      <c r="I10" s="227"/>
      <c r="J10" s="227"/>
      <c r="K10" s="227"/>
      <c r="L10" s="68" t="s">
        <v>22</v>
      </c>
      <c r="M10" s="274" t="s">
        <v>23</v>
      </c>
      <c r="N10" s="274"/>
      <c r="O10" s="274"/>
      <c r="P10" s="274"/>
      <c r="Q10" s="274"/>
      <c r="R10" s="274"/>
      <c r="S10" s="274"/>
      <c r="T10" s="274"/>
      <c r="U10" s="274"/>
      <c r="V10" s="274"/>
      <c r="W10" s="274"/>
      <c r="X10" s="274"/>
      <c r="Y10" s="275"/>
    </row>
    <row r="11" spans="1:26" ht="9.9499999999999993" customHeight="1" thickBot="1">
      <c r="A11" s="236"/>
      <c r="B11" s="237"/>
      <c r="C11" s="237"/>
      <c r="D11" s="239"/>
      <c r="E11" s="193" t="s">
        <v>24</v>
      </c>
      <c r="F11" s="75"/>
      <c r="G11" s="75" t="s">
        <v>25</v>
      </c>
      <c r="H11" s="75" t="s">
        <v>26</v>
      </c>
      <c r="I11" s="75" t="s">
        <v>27</v>
      </c>
      <c r="J11" s="75" t="s">
        <v>28</v>
      </c>
      <c r="K11" s="75" t="s">
        <v>29</v>
      </c>
      <c r="L11" s="198" t="s">
        <v>30</v>
      </c>
      <c r="M11" s="276" t="s">
        <v>31</v>
      </c>
      <c r="N11" s="276"/>
      <c r="O11" s="276"/>
      <c r="P11" s="276"/>
      <c r="Q11" s="276"/>
      <c r="R11" s="276"/>
      <c r="S11" s="276"/>
      <c r="T11" s="276"/>
      <c r="U11" s="276"/>
      <c r="V11" s="276"/>
      <c r="W11" s="276"/>
      <c r="X11" s="276"/>
      <c r="Y11" s="277"/>
    </row>
    <row r="12" spans="1:26" ht="11.25" customHeight="1">
      <c r="A12" s="66" t="s">
        <v>29</v>
      </c>
      <c r="B12" s="48" t="s">
        <v>32</v>
      </c>
      <c r="C12" s="48" t="s">
        <v>33</v>
      </c>
      <c r="D12" s="49" t="s">
        <v>34</v>
      </c>
      <c r="E12" s="193"/>
      <c r="F12" s="75" t="s">
        <v>33</v>
      </c>
      <c r="G12" s="53">
        <v>5</v>
      </c>
      <c r="H12" s="54">
        <v>6</v>
      </c>
      <c r="I12" s="54">
        <v>7</v>
      </c>
      <c r="J12" s="54">
        <v>8</v>
      </c>
      <c r="K12" s="55">
        <v>9</v>
      </c>
      <c r="L12" s="198"/>
      <c r="M12" s="276"/>
      <c r="N12" s="276"/>
      <c r="O12" s="276"/>
      <c r="P12" s="276"/>
      <c r="Q12" s="276"/>
      <c r="R12" s="276"/>
      <c r="S12" s="276"/>
      <c r="T12" s="276"/>
      <c r="U12" s="276"/>
      <c r="V12" s="276"/>
      <c r="W12" s="276"/>
      <c r="X12" s="276"/>
      <c r="Y12" s="277"/>
    </row>
    <row r="13" spans="1:26" ht="11.25" customHeight="1">
      <c r="A13" s="66" t="s">
        <v>28</v>
      </c>
      <c r="B13" s="48" t="s">
        <v>35</v>
      </c>
      <c r="C13" s="48" t="s">
        <v>36</v>
      </c>
      <c r="D13" s="49" t="s">
        <v>37</v>
      </c>
      <c r="E13" s="193"/>
      <c r="F13" s="75" t="s">
        <v>36</v>
      </c>
      <c r="G13" s="56">
        <v>4</v>
      </c>
      <c r="H13" s="57">
        <v>5</v>
      </c>
      <c r="I13" s="58">
        <v>6</v>
      </c>
      <c r="J13" s="58">
        <v>7</v>
      </c>
      <c r="K13" s="59">
        <v>8</v>
      </c>
      <c r="L13" s="198" t="s">
        <v>38</v>
      </c>
      <c r="M13" s="278" t="s">
        <v>39</v>
      </c>
      <c r="N13" s="278"/>
      <c r="O13" s="278"/>
      <c r="P13" s="278"/>
      <c r="Q13" s="278"/>
      <c r="R13" s="278"/>
      <c r="S13" s="278"/>
      <c r="T13" s="278"/>
      <c r="U13" s="278"/>
      <c r="V13" s="278"/>
      <c r="W13" s="278"/>
      <c r="X13" s="278"/>
      <c r="Y13" s="279"/>
    </row>
    <row r="14" spans="1:26" ht="10.5" customHeight="1">
      <c r="A14" s="66" t="s">
        <v>27</v>
      </c>
      <c r="B14" s="48" t="s">
        <v>40</v>
      </c>
      <c r="C14" s="48" t="s">
        <v>41</v>
      </c>
      <c r="D14" s="49" t="s">
        <v>42</v>
      </c>
      <c r="E14" s="193"/>
      <c r="F14" s="75" t="s">
        <v>41</v>
      </c>
      <c r="G14" s="60">
        <v>3</v>
      </c>
      <c r="H14" s="57">
        <v>4</v>
      </c>
      <c r="I14" s="57">
        <v>5</v>
      </c>
      <c r="J14" s="58">
        <v>6</v>
      </c>
      <c r="K14" s="59">
        <v>7</v>
      </c>
      <c r="L14" s="198"/>
      <c r="M14" s="278"/>
      <c r="N14" s="278"/>
      <c r="O14" s="278"/>
      <c r="P14" s="278"/>
      <c r="Q14" s="278"/>
      <c r="R14" s="278"/>
      <c r="S14" s="278"/>
      <c r="T14" s="278"/>
      <c r="U14" s="278"/>
      <c r="V14" s="278"/>
      <c r="W14" s="278"/>
      <c r="X14" s="278"/>
      <c r="Y14" s="279"/>
    </row>
    <row r="15" spans="1:26" ht="10.5" customHeight="1">
      <c r="A15" s="66" t="s">
        <v>26</v>
      </c>
      <c r="B15" s="48" t="s">
        <v>43</v>
      </c>
      <c r="C15" s="48" t="s">
        <v>44</v>
      </c>
      <c r="D15" s="49" t="s">
        <v>45</v>
      </c>
      <c r="E15" s="193"/>
      <c r="F15" s="75" t="s">
        <v>44</v>
      </c>
      <c r="G15" s="60">
        <v>2</v>
      </c>
      <c r="H15" s="61">
        <v>3</v>
      </c>
      <c r="I15" s="57">
        <v>4</v>
      </c>
      <c r="J15" s="57">
        <v>5</v>
      </c>
      <c r="K15" s="59">
        <v>6</v>
      </c>
      <c r="L15" s="198" t="s">
        <v>46</v>
      </c>
      <c r="M15" s="280" t="s">
        <v>47</v>
      </c>
      <c r="N15" s="280"/>
      <c r="O15" s="280"/>
      <c r="P15" s="280"/>
      <c r="Q15" s="280"/>
      <c r="R15" s="280"/>
      <c r="S15" s="280"/>
      <c r="T15" s="280"/>
      <c r="U15" s="280"/>
      <c r="V15" s="280"/>
      <c r="W15" s="280"/>
      <c r="X15" s="280"/>
      <c r="Y15" s="281"/>
    </row>
    <row r="16" spans="1:26" ht="11.25" customHeight="1" thickBot="1">
      <c r="A16" s="67" t="s">
        <v>25</v>
      </c>
      <c r="B16" s="50" t="s">
        <v>48</v>
      </c>
      <c r="C16" s="50" t="s">
        <v>49</v>
      </c>
      <c r="D16" s="51" t="s">
        <v>50</v>
      </c>
      <c r="E16" s="194"/>
      <c r="F16" s="76" t="s">
        <v>49</v>
      </c>
      <c r="G16" s="62">
        <v>1</v>
      </c>
      <c r="H16" s="63">
        <v>2</v>
      </c>
      <c r="I16" s="63">
        <v>3</v>
      </c>
      <c r="J16" s="64">
        <v>4</v>
      </c>
      <c r="K16" s="65">
        <v>5</v>
      </c>
      <c r="L16" s="284"/>
      <c r="M16" s="282"/>
      <c r="N16" s="282"/>
      <c r="O16" s="282"/>
      <c r="P16" s="282"/>
      <c r="Q16" s="282"/>
      <c r="R16" s="282"/>
      <c r="S16" s="282"/>
      <c r="T16" s="282"/>
      <c r="U16" s="282"/>
      <c r="V16" s="282"/>
      <c r="W16" s="282"/>
      <c r="X16" s="282"/>
      <c r="Y16" s="283"/>
    </row>
    <row r="17" spans="1:25" ht="11.1" customHeight="1" thickBot="1">
      <c r="A17" s="195" t="s">
        <v>51</v>
      </c>
      <c r="B17" s="196"/>
      <c r="C17" s="196"/>
      <c r="D17" s="196"/>
      <c r="E17" s="196"/>
      <c r="F17" s="196"/>
      <c r="G17" s="196"/>
      <c r="H17" s="196"/>
      <c r="I17" s="196"/>
      <c r="J17" s="196"/>
      <c r="K17" s="196"/>
      <c r="L17" s="196"/>
      <c r="M17" s="196"/>
      <c r="N17" s="196"/>
      <c r="O17" s="196"/>
      <c r="P17" s="196"/>
      <c r="Q17" s="196"/>
      <c r="R17" s="196"/>
      <c r="S17" s="196"/>
      <c r="T17" s="196"/>
      <c r="U17" s="196"/>
      <c r="V17" s="196"/>
      <c r="W17" s="196"/>
      <c r="X17" s="196"/>
      <c r="Y17" s="197"/>
    </row>
    <row r="18" spans="1:25" ht="11.45" customHeight="1">
      <c r="A18" s="285" t="s">
        <v>52</v>
      </c>
      <c r="B18" s="286"/>
      <c r="C18" s="286"/>
      <c r="D18" s="286" t="s">
        <v>53</v>
      </c>
      <c r="E18" s="286"/>
      <c r="F18" s="286"/>
      <c r="G18" s="286"/>
      <c r="H18" s="286"/>
      <c r="I18" s="286"/>
      <c r="J18" s="286"/>
      <c r="K18" s="286"/>
      <c r="L18" s="253" t="s">
        <v>54</v>
      </c>
      <c r="M18" s="255" t="s">
        <v>55</v>
      </c>
      <c r="N18" s="256"/>
      <c r="O18" s="256"/>
      <c r="P18" s="256"/>
      <c r="Q18" s="256"/>
      <c r="R18" s="256"/>
      <c r="S18" s="256"/>
      <c r="T18" s="256"/>
      <c r="U18" s="256"/>
      <c r="V18" s="256"/>
      <c r="W18" s="256"/>
      <c r="X18" s="256"/>
      <c r="Y18" s="257"/>
    </row>
    <row r="19" spans="1:25" ht="12.6" customHeight="1" thickBot="1">
      <c r="A19" s="287"/>
      <c r="B19" s="246"/>
      <c r="C19" s="246"/>
      <c r="D19" s="246" t="s">
        <v>56</v>
      </c>
      <c r="E19" s="246"/>
      <c r="F19" s="246"/>
      <c r="G19" s="246"/>
      <c r="H19" s="246"/>
      <c r="I19" s="46" t="s">
        <v>57</v>
      </c>
      <c r="J19" s="46" t="s">
        <v>58</v>
      </c>
      <c r="K19" s="47" t="s">
        <v>59</v>
      </c>
      <c r="L19" s="254"/>
      <c r="M19" s="46" t="s">
        <v>57</v>
      </c>
      <c r="N19" s="46" t="s">
        <v>58</v>
      </c>
      <c r="O19" s="46" t="s">
        <v>60</v>
      </c>
      <c r="P19" s="258" t="s">
        <v>61</v>
      </c>
      <c r="Q19" s="259"/>
      <c r="R19" s="259"/>
      <c r="S19" s="259"/>
      <c r="T19" s="259"/>
      <c r="U19" s="259"/>
      <c r="V19" s="259"/>
      <c r="W19" s="259"/>
      <c r="X19" s="259"/>
      <c r="Y19" s="260"/>
    </row>
    <row r="20" spans="1:25" ht="36" customHeight="1">
      <c r="A20" s="69">
        <v>1</v>
      </c>
      <c r="B20" s="132"/>
      <c r="C20" s="132"/>
      <c r="D20" s="132"/>
      <c r="E20" s="132"/>
      <c r="F20" s="132"/>
      <c r="G20" s="132"/>
      <c r="H20" s="132"/>
      <c r="I20" s="70"/>
      <c r="J20" s="70"/>
      <c r="K20" s="71">
        <f t="shared" ref="K20:K31" si="0">I20+J20-1</f>
        <v>-1</v>
      </c>
      <c r="L20" s="72"/>
      <c r="M20" s="70"/>
      <c r="N20" s="70"/>
      <c r="O20" s="71">
        <f>M20+N20-1</f>
        <v>-1</v>
      </c>
      <c r="P20" s="271"/>
      <c r="Q20" s="272"/>
      <c r="R20" s="272"/>
      <c r="S20" s="272"/>
      <c r="T20" s="272"/>
      <c r="U20" s="272"/>
      <c r="V20" s="272"/>
      <c r="W20" s="272"/>
      <c r="X20" s="272"/>
      <c r="Y20" s="273"/>
    </row>
    <row r="21" spans="1:25" ht="28.5" customHeight="1">
      <c r="A21" s="73">
        <v>2</v>
      </c>
      <c r="B21" s="131"/>
      <c r="C21" s="131"/>
      <c r="D21" s="132"/>
      <c r="E21" s="132"/>
      <c r="F21" s="132"/>
      <c r="G21" s="132"/>
      <c r="H21" s="132"/>
      <c r="I21" s="70"/>
      <c r="J21" s="70"/>
      <c r="K21" s="71">
        <f t="shared" si="0"/>
        <v>-1</v>
      </c>
      <c r="L21" s="72"/>
      <c r="M21" s="70"/>
      <c r="N21" s="70"/>
      <c r="O21" s="71">
        <f t="shared" ref="O21:O31" si="1">M21+N21-1</f>
        <v>-1</v>
      </c>
      <c r="P21" s="133"/>
      <c r="Q21" s="134"/>
      <c r="R21" s="134"/>
      <c r="S21" s="134"/>
      <c r="T21" s="134"/>
      <c r="U21" s="134"/>
      <c r="V21" s="134"/>
      <c r="W21" s="134"/>
      <c r="X21" s="134"/>
      <c r="Y21" s="135"/>
    </row>
    <row r="22" spans="1:25" ht="24" customHeight="1">
      <c r="A22" s="73">
        <v>3</v>
      </c>
      <c r="B22" s="131"/>
      <c r="C22" s="131"/>
      <c r="D22" s="132"/>
      <c r="E22" s="132"/>
      <c r="F22" s="132"/>
      <c r="G22" s="132"/>
      <c r="H22" s="132"/>
      <c r="I22" s="70"/>
      <c r="J22" s="70"/>
      <c r="K22" s="71">
        <f t="shared" si="0"/>
        <v>-1</v>
      </c>
      <c r="L22" s="72"/>
      <c r="M22" s="70"/>
      <c r="N22" s="70"/>
      <c r="O22" s="71">
        <f t="shared" si="1"/>
        <v>-1</v>
      </c>
      <c r="P22" s="133"/>
      <c r="Q22" s="134"/>
      <c r="R22" s="134"/>
      <c r="S22" s="134"/>
      <c r="T22" s="134"/>
      <c r="U22" s="134"/>
      <c r="V22" s="134"/>
      <c r="W22" s="134"/>
      <c r="X22" s="134"/>
      <c r="Y22" s="135"/>
    </row>
    <row r="23" spans="1:25" ht="24" customHeight="1">
      <c r="A23" s="73">
        <v>4</v>
      </c>
      <c r="B23" s="131"/>
      <c r="C23" s="131"/>
      <c r="D23" s="132"/>
      <c r="E23" s="132"/>
      <c r="F23" s="132"/>
      <c r="G23" s="132"/>
      <c r="H23" s="132"/>
      <c r="I23" s="70"/>
      <c r="J23" s="70"/>
      <c r="K23" s="71">
        <f t="shared" si="0"/>
        <v>-1</v>
      </c>
      <c r="L23" s="72"/>
      <c r="M23" s="70"/>
      <c r="N23" s="70"/>
      <c r="O23" s="71">
        <f t="shared" si="1"/>
        <v>-1</v>
      </c>
      <c r="P23" s="133"/>
      <c r="Q23" s="134"/>
      <c r="R23" s="134"/>
      <c r="S23" s="134"/>
      <c r="T23" s="134"/>
      <c r="U23" s="134"/>
      <c r="V23" s="134"/>
      <c r="W23" s="134"/>
      <c r="X23" s="134"/>
      <c r="Y23" s="135"/>
    </row>
    <row r="24" spans="1:25" ht="24" customHeight="1">
      <c r="A24" s="73">
        <v>5</v>
      </c>
      <c r="B24" s="131"/>
      <c r="C24" s="131"/>
      <c r="D24" s="132"/>
      <c r="E24" s="132"/>
      <c r="F24" s="132"/>
      <c r="G24" s="132"/>
      <c r="H24" s="132"/>
      <c r="I24" s="70"/>
      <c r="J24" s="70"/>
      <c r="K24" s="71">
        <f t="shared" si="0"/>
        <v>-1</v>
      </c>
      <c r="L24" s="72"/>
      <c r="M24" s="70"/>
      <c r="N24" s="70"/>
      <c r="O24" s="71">
        <f t="shared" si="1"/>
        <v>-1</v>
      </c>
      <c r="P24" s="133"/>
      <c r="Q24" s="134"/>
      <c r="R24" s="134"/>
      <c r="S24" s="134"/>
      <c r="T24" s="134"/>
      <c r="U24" s="134"/>
      <c r="V24" s="134"/>
      <c r="W24" s="134"/>
      <c r="X24" s="134"/>
      <c r="Y24" s="135"/>
    </row>
    <row r="25" spans="1:25" ht="24" customHeight="1">
      <c r="A25" s="73">
        <v>6</v>
      </c>
      <c r="B25" s="131"/>
      <c r="C25" s="131"/>
      <c r="D25" s="132"/>
      <c r="E25" s="132"/>
      <c r="F25" s="132"/>
      <c r="G25" s="132"/>
      <c r="H25" s="132"/>
      <c r="I25" s="70"/>
      <c r="J25" s="70"/>
      <c r="K25" s="71">
        <f t="shared" si="0"/>
        <v>-1</v>
      </c>
      <c r="L25" s="72"/>
      <c r="M25" s="70"/>
      <c r="N25" s="70"/>
      <c r="O25" s="71">
        <f t="shared" si="1"/>
        <v>-1</v>
      </c>
      <c r="P25" s="133"/>
      <c r="Q25" s="134"/>
      <c r="R25" s="134"/>
      <c r="S25" s="134"/>
      <c r="T25" s="134"/>
      <c r="U25" s="134"/>
      <c r="V25" s="134"/>
      <c r="W25" s="134"/>
      <c r="X25" s="134"/>
      <c r="Y25" s="135"/>
    </row>
    <row r="26" spans="1:25" ht="24" customHeight="1">
      <c r="A26" s="73">
        <v>7</v>
      </c>
      <c r="B26" s="131"/>
      <c r="C26" s="131"/>
      <c r="D26" s="132"/>
      <c r="E26" s="132"/>
      <c r="F26" s="132"/>
      <c r="G26" s="132"/>
      <c r="H26" s="132"/>
      <c r="I26" s="70"/>
      <c r="J26" s="70"/>
      <c r="K26" s="71">
        <f t="shared" si="0"/>
        <v>-1</v>
      </c>
      <c r="L26" s="72"/>
      <c r="M26" s="70"/>
      <c r="N26" s="70"/>
      <c r="O26" s="71">
        <f t="shared" si="1"/>
        <v>-1</v>
      </c>
      <c r="P26" s="133"/>
      <c r="Q26" s="134"/>
      <c r="R26" s="134"/>
      <c r="S26" s="134"/>
      <c r="T26" s="134"/>
      <c r="U26" s="134"/>
      <c r="V26" s="134"/>
      <c r="W26" s="134"/>
      <c r="X26" s="134"/>
      <c r="Y26" s="135"/>
    </row>
    <row r="27" spans="1:25" ht="24" customHeight="1">
      <c r="A27" s="73">
        <v>8</v>
      </c>
      <c r="B27" s="131"/>
      <c r="C27" s="131"/>
      <c r="D27" s="132"/>
      <c r="E27" s="132"/>
      <c r="F27" s="132"/>
      <c r="G27" s="132"/>
      <c r="H27" s="132"/>
      <c r="I27" s="70"/>
      <c r="J27" s="70"/>
      <c r="K27" s="71">
        <f t="shared" si="0"/>
        <v>-1</v>
      </c>
      <c r="L27" s="72"/>
      <c r="M27" s="70"/>
      <c r="N27" s="70"/>
      <c r="O27" s="71">
        <f t="shared" si="1"/>
        <v>-1</v>
      </c>
      <c r="P27" s="133"/>
      <c r="Q27" s="134"/>
      <c r="R27" s="134"/>
      <c r="S27" s="134"/>
      <c r="T27" s="134"/>
      <c r="U27" s="134"/>
      <c r="V27" s="134"/>
      <c r="W27" s="134"/>
      <c r="X27" s="134"/>
      <c r="Y27" s="135"/>
    </row>
    <row r="28" spans="1:25" ht="24" customHeight="1">
      <c r="A28" s="73">
        <v>9</v>
      </c>
      <c r="B28" s="131"/>
      <c r="C28" s="131"/>
      <c r="D28" s="132"/>
      <c r="E28" s="132"/>
      <c r="F28" s="132"/>
      <c r="G28" s="132"/>
      <c r="H28" s="132"/>
      <c r="I28" s="70"/>
      <c r="J28" s="70"/>
      <c r="K28" s="71">
        <f t="shared" si="0"/>
        <v>-1</v>
      </c>
      <c r="L28" s="72"/>
      <c r="M28" s="70"/>
      <c r="N28" s="70"/>
      <c r="O28" s="71">
        <f t="shared" si="1"/>
        <v>-1</v>
      </c>
      <c r="P28" s="133"/>
      <c r="Q28" s="134"/>
      <c r="R28" s="134"/>
      <c r="S28" s="134"/>
      <c r="T28" s="134"/>
      <c r="U28" s="134"/>
      <c r="V28" s="134"/>
      <c r="W28" s="134"/>
      <c r="X28" s="134"/>
      <c r="Y28" s="135"/>
    </row>
    <row r="29" spans="1:25" ht="24" customHeight="1">
      <c r="A29" s="73">
        <v>10</v>
      </c>
      <c r="B29" s="131"/>
      <c r="C29" s="131"/>
      <c r="D29" s="132"/>
      <c r="E29" s="132"/>
      <c r="F29" s="132"/>
      <c r="G29" s="132"/>
      <c r="H29" s="132"/>
      <c r="I29" s="70"/>
      <c r="J29" s="70"/>
      <c r="K29" s="71">
        <f t="shared" si="0"/>
        <v>-1</v>
      </c>
      <c r="L29" s="72"/>
      <c r="M29" s="70"/>
      <c r="N29" s="70"/>
      <c r="O29" s="71">
        <f t="shared" si="1"/>
        <v>-1</v>
      </c>
      <c r="P29" s="133"/>
      <c r="Q29" s="134"/>
      <c r="R29" s="134"/>
      <c r="S29" s="134"/>
      <c r="T29" s="134"/>
      <c r="U29" s="134"/>
      <c r="V29" s="134"/>
      <c r="W29" s="134"/>
      <c r="X29" s="134"/>
      <c r="Y29" s="135"/>
    </row>
    <row r="30" spans="1:25" ht="24" customHeight="1">
      <c r="A30" s="73">
        <v>11</v>
      </c>
      <c r="B30" s="131"/>
      <c r="C30" s="131"/>
      <c r="D30" s="132"/>
      <c r="E30" s="132"/>
      <c r="F30" s="132"/>
      <c r="G30" s="132"/>
      <c r="H30" s="132"/>
      <c r="I30" s="70"/>
      <c r="J30" s="70"/>
      <c r="K30" s="71">
        <f t="shared" si="0"/>
        <v>-1</v>
      </c>
      <c r="L30" s="72"/>
      <c r="M30" s="70"/>
      <c r="N30" s="70"/>
      <c r="O30" s="71">
        <f t="shared" si="1"/>
        <v>-1</v>
      </c>
      <c r="P30" s="133"/>
      <c r="Q30" s="134"/>
      <c r="R30" s="134"/>
      <c r="S30" s="134"/>
      <c r="T30" s="134"/>
      <c r="U30" s="134"/>
      <c r="V30" s="134"/>
      <c r="W30" s="134"/>
      <c r="X30" s="134"/>
      <c r="Y30" s="135"/>
    </row>
    <row r="31" spans="1:25" ht="24" customHeight="1" thickBot="1">
      <c r="A31" s="73">
        <v>12</v>
      </c>
      <c r="B31" s="131"/>
      <c r="C31" s="131"/>
      <c r="D31" s="132"/>
      <c r="E31" s="132"/>
      <c r="F31" s="132"/>
      <c r="G31" s="132"/>
      <c r="H31" s="132"/>
      <c r="I31" s="70"/>
      <c r="J31" s="70"/>
      <c r="K31" s="71">
        <f t="shared" si="0"/>
        <v>-1</v>
      </c>
      <c r="L31" s="72"/>
      <c r="M31" s="70"/>
      <c r="N31" s="70"/>
      <c r="O31" s="71">
        <f t="shared" si="1"/>
        <v>-1</v>
      </c>
      <c r="P31" s="133"/>
      <c r="Q31" s="134"/>
      <c r="R31" s="134"/>
      <c r="S31" s="134"/>
      <c r="T31" s="134"/>
      <c r="U31" s="134"/>
      <c r="V31" s="134"/>
      <c r="W31" s="134"/>
      <c r="X31" s="134"/>
      <c r="Y31" s="135"/>
    </row>
    <row r="32" spans="1:25" ht="10.5" customHeight="1" thickBot="1">
      <c r="A32" s="159" t="s">
        <v>62</v>
      </c>
      <c r="B32" s="160"/>
      <c r="C32" s="160"/>
      <c r="D32" s="160"/>
      <c r="E32" s="160"/>
      <c r="F32" s="160"/>
      <c r="G32" s="160"/>
      <c r="H32" s="160"/>
      <c r="I32" s="160"/>
      <c r="J32" s="160"/>
      <c r="K32" s="160"/>
      <c r="L32" s="160"/>
      <c r="M32" s="160"/>
      <c r="N32" s="160"/>
      <c r="O32" s="160"/>
      <c r="P32" s="160"/>
      <c r="Q32" s="160"/>
      <c r="R32" s="160"/>
      <c r="S32" s="160"/>
      <c r="T32" s="160"/>
      <c r="U32" s="160"/>
      <c r="V32" s="160"/>
      <c r="W32" s="160"/>
      <c r="X32" s="160"/>
      <c r="Y32" s="161"/>
    </row>
    <row r="33" spans="1:25" ht="15" customHeight="1">
      <c r="A33" s="162" t="s">
        <v>63</v>
      </c>
      <c r="B33" s="163"/>
      <c r="C33" s="163"/>
      <c r="D33" s="163"/>
      <c r="E33" s="163"/>
      <c r="F33" s="163"/>
      <c r="G33" s="163"/>
      <c r="H33" s="163"/>
      <c r="I33" s="163"/>
      <c r="J33" s="163"/>
      <c r="K33" s="163"/>
      <c r="L33" s="163"/>
      <c r="M33" s="163"/>
      <c r="N33" s="163"/>
      <c r="O33" s="163"/>
      <c r="P33" s="163"/>
      <c r="Q33" s="163"/>
      <c r="R33" s="163"/>
      <c r="S33" s="163"/>
      <c r="T33" s="163"/>
      <c r="U33" s="163"/>
      <c r="V33" s="163"/>
      <c r="W33" s="163"/>
      <c r="X33" s="163"/>
      <c r="Y33" s="164"/>
    </row>
    <row r="34" spans="1:25" ht="27" customHeight="1" thickBot="1">
      <c r="A34" s="165"/>
      <c r="B34" s="166"/>
      <c r="C34" s="166"/>
      <c r="D34" s="166"/>
      <c r="E34" s="166"/>
      <c r="F34" s="166"/>
      <c r="G34" s="166"/>
      <c r="H34" s="166"/>
      <c r="I34" s="166"/>
      <c r="J34" s="166"/>
      <c r="K34" s="166"/>
      <c r="L34" s="166"/>
      <c r="M34" s="166"/>
      <c r="N34" s="166"/>
      <c r="O34" s="166"/>
      <c r="P34" s="166"/>
      <c r="Q34" s="166"/>
      <c r="R34" s="166"/>
      <c r="S34" s="166"/>
      <c r="T34" s="166"/>
      <c r="U34" s="166"/>
      <c r="V34" s="166"/>
      <c r="W34" s="166"/>
      <c r="X34" s="166"/>
      <c r="Y34" s="167"/>
    </row>
    <row r="35" spans="1:25" ht="12.6" hidden="1" customHeight="1">
      <c r="A35" s="177"/>
      <c r="B35" s="178"/>
      <c r="C35" s="179"/>
      <c r="D35" s="181"/>
      <c r="E35" s="147"/>
      <c r="F35" s="147"/>
      <c r="G35" s="147"/>
      <c r="H35" s="147"/>
      <c r="I35" s="147"/>
      <c r="J35" s="147"/>
      <c r="K35" s="148"/>
      <c r="L35" s="146"/>
      <c r="M35" s="147"/>
      <c r="N35" s="147"/>
      <c r="O35" s="147"/>
      <c r="P35" s="148"/>
      <c r="Q35" s="78"/>
      <c r="R35" s="140"/>
      <c r="S35" s="141"/>
      <c r="T35" s="141"/>
      <c r="U35" s="141"/>
      <c r="V35" s="141"/>
      <c r="W35" s="141"/>
      <c r="X35" s="141"/>
      <c r="Y35" s="142"/>
    </row>
    <row r="36" spans="1:25" ht="12" hidden="1" customHeight="1">
      <c r="A36" s="182"/>
      <c r="B36" s="183"/>
      <c r="C36" s="184"/>
      <c r="D36" s="180"/>
      <c r="E36" s="144"/>
      <c r="F36" s="144"/>
      <c r="G36" s="144"/>
      <c r="H36" s="144"/>
      <c r="I36" s="144"/>
      <c r="J36" s="144"/>
      <c r="K36" s="145"/>
      <c r="L36" s="143"/>
      <c r="M36" s="144"/>
      <c r="N36" s="144"/>
      <c r="O36" s="144"/>
      <c r="P36" s="145"/>
      <c r="Q36" s="79"/>
      <c r="R36" s="152"/>
      <c r="S36" s="153"/>
      <c r="T36" s="153"/>
      <c r="U36" s="153"/>
      <c r="V36" s="153"/>
      <c r="W36" s="153"/>
      <c r="X36" s="153"/>
      <c r="Y36" s="154"/>
    </row>
    <row r="37" spans="1:25">
      <c r="A37" s="171" t="s">
        <v>64</v>
      </c>
      <c r="B37" s="172"/>
      <c r="C37" s="172"/>
      <c r="D37" s="172"/>
      <c r="E37" s="172"/>
      <c r="F37" s="172"/>
      <c r="G37" s="172"/>
      <c r="H37" s="173"/>
      <c r="I37" s="83" t="s">
        <v>65</v>
      </c>
      <c r="J37" s="84"/>
      <c r="K37" s="85"/>
      <c r="L37" s="86"/>
      <c r="M37" s="83" t="s">
        <v>66</v>
      </c>
      <c r="N37" s="84"/>
      <c r="O37" s="85"/>
      <c r="P37" s="168"/>
      <c r="Q37" s="169"/>
      <c r="R37" s="169"/>
      <c r="S37" s="170"/>
      <c r="T37" s="136" t="s">
        <v>67</v>
      </c>
      <c r="U37" s="137"/>
      <c r="V37" s="138"/>
      <c r="W37" s="138"/>
      <c r="X37" s="138"/>
      <c r="Y37" s="139"/>
    </row>
    <row r="38" spans="1:25" ht="13.5" customHeight="1" thickBot="1">
      <c r="A38" s="174" t="s">
        <v>68</v>
      </c>
      <c r="B38" s="175"/>
      <c r="C38" s="175"/>
      <c r="D38" s="175"/>
      <c r="E38" s="175"/>
      <c r="F38" s="175"/>
      <c r="G38" s="175"/>
      <c r="H38" s="176"/>
      <c r="I38" s="125" t="s">
        <v>65</v>
      </c>
      <c r="J38" s="126"/>
      <c r="K38" s="127"/>
      <c r="L38" s="128"/>
      <c r="M38" s="129" t="s">
        <v>69</v>
      </c>
      <c r="N38" s="130"/>
      <c r="O38" s="130"/>
      <c r="P38" s="149"/>
      <c r="Q38" s="150"/>
      <c r="R38" s="150"/>
      <c r="S38" s="151"/>
      <c r="T38" s="155" t="s">
        <v>67</v>
      </c>
      <c r="U38" s="156"/>
      <c r="V38" s="157"/>
      <c r="W38" s="157"/>
      <c r="X38" s="157"/>
      <c r="Y38" s="158"/>
    </row>
    <row r="39" spans="1:25" s="74" customFormat="1" ht="3.75" customHeight="1">
      <c r="A39" s="90"/>
      <c r="B39" s="90"/>
      <c r="C39" s="90"/>
      <c r="D39" s="90"/>
      <c r="E39" s="90"/>
      <c r="F39" s="90"/>
      <c r="G39" s="90"/>
      <c r="H39" s="90"/>
      <c r="I39" s="90"/>
      <c r="J39" s="90"/>
      <c r="K39" s="90"/>
      <c r="L39" s="90"/>
      <c r="M39" s="91"/>
      <c r="N39" s="91"/>
      <c r="O39" s="91"/>
      <c r="P39" s="91"/>
      <c r="Q39" s="91"/>
      <c r="R39" s="91"/>
      <c r="S39" s="91"/>
      <c r="T39" s="92"/>
      <c r="U39" s="92"/>
      <c r="V39" s="92"/>
      <c r="W39" s="92"/>
      <c r="X39" s="92"/>
      <c r="Y39" s="92"/>
    </row>
    <row r="40" spans="1:25"/>
    <row r="41" spans="1:25"/>
    <row r="42" spans="1:25"/>
    <row r="43" spans="1:25"/>
    <row r="44" spans="1:25"/>
    <row r="45" spans="1:25"/>
    <row r="46" spans="1:25"/>
    <row r="47" spans="1:25"/>
    <row r="48" spans="1:25"/>
    <row r="49"/>
    <row r="50"/>
    <row r="51"/>
    <row r="52"/>
    <row r="53"/>
    <row r="54"/>
    <row r="55"/>
    <row r="56"/>
    <row r="57"/>
    <row r="58"/>
    <row r="59"/>
    <row r="60"/>
    <row r="61"/>
    <row r="62"/>
    <row r="63"/>
    <row r="64"/>
    <row r="65"/>
    <row r="66"/>
    <row r="67"/>
    <row r="68"/>
  </sheetData>
  <mergeCells count="99">
    <mergeCell ref="L15:L16"/>
    <mergeCell ref="B22:C22"/>
    <mergeCell ref="D22:H22"/>
    <mergeCell ref="D21:H21"/>
    <mergeCell ref="A18:C19"/>
    <mergeCell ref="D18:K18"/>
    <mergeCell ref="B20:C20"/>
    <mergeCell ref="B21:C21"/>
    <mergeCell ref="X6:Y6"/>
    <mergeCell ref="P6:T6"/>
    <mergeCell ref="P20:Y20"/>
    <mergeCell ref="P21:Y21"/>
    <mergeCell ref="P22:Y22"/>
    <mergeCell ref="M10:Y10"/>
    <mergeCell ref="M11:Y12"/>
    <mergeCell ref="M13:Y14"/>
    <mergeCell ref="M15:Y16"/>
    <mergeCell ref="S3:W3"/>
    <mergeCell ref="Q3:R3"/>
    <mergeCell ref="S4:W4"/>
    <mergeCell ref="Q4:R4"/>
    <mergeCell ref="U5:W5"/>
    <mergeCell ref="P1:Y1"/>
    <mergeCell ref="P2:Y2"/>
    <mergeCell ref="A7:Y7"/>
    <mergeCell ref="F10:K10"/>
    <mergeCell ref="D20:H20"/>
    <mergeCell ref="A1:C4"/>
    <mergeCell ref="A10:B11"/>
    <mergeCell ref="C10:D11"/>
    <mergeCell ref="A5:F5"/>
    <mergeCell ref="D1:O1"/>
    <mergeCell ref="D19:H19"/>
    <mergeCell ref="D2:O4"/>
    <mergeCell ref="L18:L19"/>
    <mergeCell ref="M18:Y18"/>
    <mergeCell ref="P19:Y19"/>
    <mergeCell ref="X3:Y3"/>
    <mergeCell ref="X4:Y4"/>
    <mergeCell ref="P5:T5"/>
    <mergeCell ref="U6:W6"/>
    <mergeCell ref="E11:E16"/>
    <mergeCell ref="A17:Y17"/>
    <mergeCell ref="L11:L12"/>
    <mergeCell ref="L13:L14"/>
    <mergeCell ref="A9:Y9"/>
    <mergeCell ref="A6:F6"/>
    <mergeCell ref="M5:O5"/>
    <mergeCell ref="G5:L5"/>
    <mergeCell ref="G6:L6"/>
    <mergeCell ref="M6:O6"/>
    <mergeCell ref="A8:C8"/>
    <mergeCell ref="R8:Y8"/>
    <mergeCell ref="X5:Y5"/>
    <mergeCell ref="P38:S38"/>
    <mergeCell ref="R36:Y36"/>
    <mergeCell ref="T38:U38"/>
    <mergeCell ref="V38:Y38"/>
    <mergeCell ref="D30:H30"/>
    <mergeCell ref="P31:Y31"/>
    <mergeCell ref="A32:Y32"/>
    <mergeCell ref="A33:Y34"/>
    <mergeCell ref="D31:H31"/>
    <mergeCell ref="P37:S37"/>
    <mergeCell ref="A37:H37"/>
    <mergeCell ref="A38:H38"/>
    <mergeCell ref="A35:C35"/>
    <mergeCell ref="D36:K36"/>
    <mergeCell ref="D35:K35"/>
    <mergeCell ref="A36:C36"/>
    <mergeCell ref="B25:C25"/>
    <mergeCell ref="B26:C26"/>
    <mergeCell ref="B31:C31"/>
    <mergeCell ref="B27:C27"/>
    <mergeCell ref="B28:C28"/>
    <mergeCell ref="B29:C29"/>
    <mergeCell ref="B30:C30"/>
    <mergeCell ref="D28:H28"/>
    <mergeCell ref="R35:Y35"/>
    <mergeCell ref="L36:P36"/>
    <mergeCell ref="L35:P35"/>
    <mergeCell ref="D29:H29"/>
    <mergeCell ref="P28:Y28"/>
    <mergeCell ref="B23:C23"/>
    <mergeCell ref="D23:H23"/>
    <mergeCell ref="P26:Y26"/>
    <mergeCell ref="T37:U37"/>
    <mergeCell ref="P23:Y23"/>
    <mergeCell ref="P24:Y24"/>
    <mergeCell ref="P25:Y25"/>
    <mergeCell ref="D24:H24"/>
    <mergeCell ref="D25:H25"/>
    <mergeCell ref="D26:H26"/>
    <mergeCell ref="V37:Y37"/>
    <mergeCell ref="P27:Y27"/>
    <mergeCell ref="P29:Y29"/>
    <mergeCell ref="P30:Y30"/>
    <mergeCell ref="B24:C24"/>
    <mergeCell ref="D27:H27"/>
  </mergeCells>
  <phoneticPr fontId="17" type="noConversion"/>
  <conditionalFormatting sqref="O20:O31 K20:K31">
    <cfRule type="cellIs" dxfId="9" priority="82" operator="greaterThan">
      <formula>5.91</formula>
    </cfRule>
    <cfRule type="cellIs" dxfId="8" priority="83" operator="between">
      <formula>3.5</formula>
      <formula>5.9</formula>
    </cfRule>
    <cfRule type="cellIs" dxfId="7" priority="84" operator="between">
      <formula>0.9</formula>
      <formula>3.49</formula>
    </cfRule>
  </conditionalFormatting>
  <pageMargins left="0.23622047244094491" right="0.23622047244094491" top="0.23622047244094491" bottom="0.15748031496062992" header="0.31496062992125984" footer="0.31496062992125984"/>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
              <controlPr defaultSize="0" autoFill="0" autoLine="0" autoPict="0">
                <anchor moveWithCells="1">
                  <from>
                    <xdr:col>0</xdr:col>
                    <xdr:colOff>69850</xdr:colOff>
                    <xdr:row>7</xdr:row>
                    <xdr:rowOff>31750</xdr:rowOff>
                  </from>
                  <to>
                    <xdr:col>2</xdr:col>
                    <xdr:colOff>241300</xdr:colOff>
                    <xdr:row>7</xdr:row>
                    <xdr:rowOff>190500</xdr:rowOff>
                  </to>
                </anchor>
              </controlPr>
            </control>
          </mc:Choice>
        </mc:AlternateContent>
        <mc:AlternateContent xmlns:mc="http://schemas.openxmlformats.org/markup-compatibility/2006">
          <mc:Choice Requires="x14">
            <control shapeId="1028" r:id="rId5" name="Check Box 4">
              <controlPr locked="0" defaultSize="0" autoFill="0" autoLine="0" autoPict="0">
                <anchor moveWithCells="1">
                  <from>
                    <xdr:col>2</xdr:col>
                    <xdr:colOff>355600</xdr:colOff>
                    <xdr:row>7</xdr:row>
                    <xdr:rowOff>31750</xdr:rowOff>
                  </from>
                  <to>
                    <xdr:col>5</xdr:col>
                    <xdr:colOff>88900</xdr:colOff>
                    <xdr:row>7</xdr:row>
                    <xdr:rowOff>190500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6</xdr:col>
                    <xdr:colOff>12700</xdr:colOff>
                    <xdr:row>7</xdr:row>
                    <xdr:rowOff>31750</xdr:rowOff>
                  </from>
                  <to>
                    <xdr:col>9</xdr:col>
                    <xdr:colOff>222250</xdr:colOff>
                    <xdr:row>7</xdr:row>
                    <xdr:rowOff>190500</xdr:rowOff>
                  </to>
                </anchor>
              </controlPr>
            </control>
          </mc:Choice>
        </mc:AlternateContent>
        <mc:AlternateContent xmlns:mc="http://schemas.openxmlformats.org/markup-compatibility/2006">
          <mc:Choice Requires="x14">
            <control shapeId="1030" r:id="rId7" name="Check Box 6">
              <controlPr locked="0" defaultSize="0" autoFill="0" autoLine="0" autoPict="0">
                <anchor moveWithCells="1">
                  <from>
                    <xdr:col>9</xdr:col>
                    <xdr:colOff>190500</xdr:colOff>
                    <xdr:row>7</xdr:row>
                    <xdr:rowOff>31750</xdr:rowOff>
                  </from>
                  <to>
                    <xdr:col>11</xdr:col>
                    <xdr:colOff>781050</xdr:colOff>
                    <xdr:row>7</xdr:row>
                    <xdr:rowOff>190500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11</xdr:col>
                    <xdr:colOff>647700</xdr:colOff>
                    <xdr:row>7</xdr:row>
                    <xdr:rowOff>31750</xdr:rowOff>
                  </from>
                  <to>
                    <xdr:col>12</xdr:col>
                    <xdr:colOff>247650</xdr:colOff>
                    <xdr:row>7</xdr:row>
                    <xdr:rowOff>190500</xdr:rowOff>
                  </to>
                </anchor>
              </controlPr>
            </control>
          </mc:Choice>
        </mc:AlternateContent>
        <mc:AlternateContent xmlns:mc="http://schemas.openxmlformats.org/markup-compatibility/2006">
          <mc:Choice Requires="x14">
            <control shapeId="1032" r:id="rId9" name="Check Box 8">
              <controlPr defaultSize="0" autoFill="0" autoLine="0" autoPict="0">
                <anchor moveWithCells="1">
                  <from>
                    <xdr:col>12</xdr:col>
                    <xdr:colOff>165100</xdr:colOff>
                    <xdr:row>7</xdr:row>
                    <xdr:rowOff>31750</xdr:rowOff>
                  </from>
                  <to>
                    <xdr:col>15</xdr:col>
                    <xdr:colOff>488950</xdr:colOff>
                    <xdr:row>7</xdr:row>
                    <xdr:rowOff>190500</xdr:rowOff>
                  </to>
                </anchor>
              </controlPr>
            </control>
          </mc:Choice>
        </mc:AlternateContent>
        <mc:AlternateContent xmlns:mc="http://schemas.openxmlformats.org/markup-compatibility/2006">
          <mc:Choice Requires="x14">
            <control shapeId="1039" r:id="rId10" name="Check Box 15">
              <controlPr locked="0" defaultSize="0" autoFill="0" autoLine="0" autoPict="0" altText="FieldCore Employees">
                <anchor moveWithCells="1">
                  <from>
                    <xdr:col>15</xdr:col>
                    <xdr:colOff>266700</xdr:colOff>
                    <xdr:row>6</xdr:row>
                    <xdr:rowOff>165100</xdr:rowOff>
                  </from>
                  <to>
                    <xdr:col>17</xdr:col>
                    <xdr:colOff>95250</xdr:colOff>
                    <xdr:row>7</xdr:row>
                    <xdr:rowOff>203200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BCD84D31-06F4-42CF-8318-EDECC9E38479}">
          <x14:formula1>
            <xm:f>Hazard_Defense_Code!$G$2:$G$6</xm:f>
          </x14:formula1>
          <xm:sqref>M20:M31 I20:J31</xm:sqref>
        </x14:dataValidation>
        <x14:dataValidation type="list" allowBlank="1" showInputMessage="1" showErrorMessage="1" xr:uid="{B655582D-DC1A-4948-B655-19C1AD822A50}">
          <x14:formula1>
            <xm:f>Hazard_Defense_Code!$G$2:$G$67</xm:f>
          </x14:formula1>
          <xm:sqref>N20:N31</xm:sqref>
        </x14:dataValidation>
        <x14:dataValidation type="list" allowBlank="1" showInputMessage="1" showErrorMessage="1" xr:uid="{D29C5257-3A43-4FD0-BFAF-013D65EEB02D}">
          <x14:formula1>
            <xm:f>Hazard_Defense_Code!$A$2:$A$60</xm:f>
          </x14:formula1>
          <xm:sqref>D20:H31</xm:sqref>
        </x14:dataValidation>
        <x14:dataValidation type="list" allowBlank="1" showInputMessage="1" showErrorMessage="1" xr:uid="{AAAA396B-D0DB-498E-8792-FE06213A925A}">
          <x14:formula1>
            <xm:f>Hazard_Defense_Code!$A$73:$A$183</xm:f>
          </x14:formula1>
          <xm:sqref>L20:L31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A7C73-2635-4C48-8EA9-B5AE2A69E998}">
  <sheetPr codeName="Sheet21"/>
  <dimension ref="A1:Q183"/>
  <sheetViews>
    <sheetView zoomScale="80" zoomScaleNormal="80" workbookViewId="0">
      <selection activeCell="D189" sqref="D189"/>
    </sheetView>
  </sheetViews>
  <sheetFormatPr defaultColWidth="9.140625" defaultRowHeight="15"/>
  <cols>
    <col min="1" max="1" width="39.140625" style="98" customWidth="1"/>
    <col min="2" max="2" width="6.140625" style="35" customWidth="1"/>
    <col min="3" max="3" width="5.7109375" style="35" customWidth="1"/>
    <col min="4" max="4" width="6.42578125" style="35" customWidth="1"/>
    <col min="5" max="5" width="114.85546875" style="95" customWidth="1"/>
    <col min="6" max="6" width="25.5703125" style="98" customWidth="1"/>
    <col min="7" max="9" width="9.140625" style="35"/>
    <col min="10" max="10" width="29.140625" style="35" customWidth="1"/>
    <col min="11" max="11" width="39.42578125" style="35" customWidth="1"/>
    <col min="12" max="14" width="53.28515625" style="35" customWidth="1"/>
    <col min="15" max="15" width="38.7109375" style="35" customWidth="1"/>
    <col min="16" max="16" width="42.85546875" style="35" customWidth="1"/>
    <col min="17" max="17" width="34.5703125" style="35" customWidth="1"/>
    <col min="18" max="16384" width="9.140625" style="35"/>
  </cols>
  <sheetData>
    <row r="1" spans="1:17">
      <c r="A1" s="117" t="s">
        <v>70</v>
      </c>
      <c r="B1" s="36" t="s">
        <v>19</v>
      </c>
      <c r="C1" s="36" t="s">
        <v>20</v>
      </c>
      <c r="D1" s="36" t="s">
        <v>71</v>
      </c>
      <c r="E1" s="93" t="s">
        <v>72</v>
      </c>
      <c r="F1" s="98" t="s">
        <v>73</v>
      </c>
      <c r="J1" s="37"/>
      <c r="K1" s="37"/>
      <c r="L1" s="37"/>
      <c r="M1" s="37"/>
      <c r="N1" s="37" t="s">
        <v>74</v>
      </c>
      <c r="O1" s="37" t="s">
        <v>75</v>
      </c>
      <c r="P1" s="37" t="s">
        <v>76</v>
      </c>
      <c r="Q1" s="37" t="s">
        <v>77</v>
      </c>
    </row>
    <row r="2" spans="1:17" ht="49.5" customHeight="1">
      <c r="A2" s="118" t="s">
        <v>78</v>
      </c>
      <c r="B2" s="101">
        <v>2</v>
      </c>
      <c r="C2" s="101">
        <v>3</v>
      </c>
      <c r="D2" s="101">
        <v>4</v>
      </c>
      <c r="E2" s="96" t="s">
        <v>79</v>
      </c>
      <c r="F2" s="93" t="s">
        <v>80</v>
      </c>
      <c r="G2" s="35">
        <v>1</v>
      </c>
    </row>
    <row r="3" spans="1:17" ht="78" customHeight="1">
      <c r="A3" s="118" t="s">
        <v>81</v>
      </c>
      <c r="B3" s="101">
        <v>2</v>
      </c>
      <c r="C3" s="101">
        <v>2</v>
      </c>
      <c r="D3" s="101">
        <v>3</v>
      </c>
      <c r="E3" s="99" t="s">
        <v>82</v>
      </c>
      <c r="F3" s="93" t="s">
        <v>83</v>
      </c>
      <c r="G3" s="35">
        <v>2</v>
      </c>
    </row>
    <row r="4" spans="1:17" ht="48" customHeight="1">
      <c r="A4" s="118" t="s">
        <v>84</v>
      </c>
      <c r="B4" s="101">
        <v>4</v>
      </c>
      <c r="C4" s="101">
        <v>1</v>
      </c>
      <c r="D4" s="101">
        <v>4</v>
      </c>
      <c r="E4" s="96" t="s">
        <v>85</v>
      </c>
      <c r="F4" s="93" t="s">
        <v>86</v>
      </c>
      <c r="G4" s="35">
        <v>3</v>
      </c>
    </row>
    <row r="5" spans="1:17" ht="62.45" customHeight="1">
      <c r="A5" s="118" t="s">
        <v>87</v>
      </c>
      <c r="B5" s="101">
        <v>4</v>
      </c>
      <c r="C5" s="101">
        <v>1</v>
      </c>
      <c r="D5" s="101">
        <v>4</v>
      </c>
      <c r="E5" s="99" t="s">
        <v>88</v>
      </c>
      <c r="F5" s="93" t="s">
        <v>89</v>
      </c>
      <c r="G5" s="35">
        <v>4</v>
      </c>
    </row>
    <row r="6" spans="1:17" ht="44.45" customHeight="1">
      <c r="A6" s="118" t="s">
        <v>90</v>
      </c>
      <c r="B6" s="101">
        <v>3</v>
      </c>
      <c r="C6" s="101">
        <v>3</v>
      </c>
      <c r="D6" s="101">
        <v>5</v>
      </c>
      <c r="E6" s="93" t="s">
        <v>91</v>
      </c>
      <c r="F6" s="93" t="s">
        <v>92</v>
      </c>
      <c r="G6" s="35">
        <v>5</v>
      </c>
    </row>
    <row r="7" spans="1:17" ht="30">
      <c r="A7" s="118" t="s">
        <v>93</v>
      </c>
      <c r="B7" s="101">
        <v>2</v>
      </c>
      <c r="C7" s="101">
        <v>3</v>
      </c>
      <c r="D7" s="101">
        <v>5</v>
      </c>
      <c r="E7" s="93" t="s">
        <v>94</v>
      </c>
      <c r="F7" s="93" t="s">
        <v>95</v>
      </c>
    </row>
    <row r="8" spans="1:17" ht="102" customHeight="1">
      <c r="A8" s="119" t="s">
        <v>96</v>
      </c>
      <c r="B8" s="101">
        <v>2</v>
      </c>
      <c r="C8" s="101">
        <v>2</v>
      </c>
      <c r="D8" s="101">
        <v>3</v>
      </c>
      <c r="E8" s="105" t="s">
        <v>97</v>
      </c>
      <c r="F8" s="93" t="s">
        <v>98</v>
      </c>
    </row>
    <row r="9" spans="1:17" ht="81.599999999999994" customHeight="1">
      <c r="A9" s="120" t="s">
        <v>99</v>
      </c>
      <c r="B9" s="101">
        <v>3</v>
      </c>
      <c r="C9" s="101">
        <v>3</v>
      </c>
      <c r="D9" s="101">
        <v>4</v>
      </c>
      <c r="E9" s="99" t="s">
        <v>100</v>
      </c>
      <c r="F9" s="93" t="s">
        <v>101</v>
      </c>
    </row>
    <row r="10" spans="1:17" ht="99" customHeight="1">
      <c r="A10" s="118" t="s">
        <v>102</v>
      </c>
      <c r="B10" s="101">
        <v>1</v>
      </c>
      <c r="C10" s="101">
        <v>5</v>
      </c>
      <c r="D10" s="101">
        <v>5</v>
      </c>
      <c r="E10" s="105" t="s">
        <v>103</v>
      </c>
      <c r="F10" s="93" t="s">
        <v>104</v>
      </c>
    </row>
    <row r="11" spans="1:17" ht="43.5" customHeight="1">
      <c r="A11" s="118" t="s">
        <v>105</v>
      </c>
      <c r="B11" s="101">
        <v>1</v>
      </c>
      <c r="C11" s="101">
        <v>2</v>
      </c>
      <c r="D11" s="101">
        <v>2</v>
      </c>
      <c r="E11" s="99" t="s">
        <v>106</v>
      </c>
      <c r="F11" s="93" t="s">
        <v>107</v>
      </c>
    </row>
    <row r="12" spans="1:17" ht="45">
      <c r="A12" s="118" t="s">
        <v>108</v>
      </c>
      <c r="B12" s="101">
        <v>2</v>
      </c>
      <c r="C12" s="101">
        <v>1</v>
      </c>
      <c r="D12" s="101">
        <v>2</v>
      </c>
      <c r="E12" s="93" t="s">
        <v>109</v>
      </c>
      <c r="F12" s="93" t="s">
        <v>110</v>
      </c>
    </row>
    <row r="13" spans="1:17" ht="45">
      <c r="A13" s="118" t="s">
        <v>111</v>
      </c>
      <c r="B13" s="101">
        <v>2</v>
      </c>
      <c r="C13" s="101">
        <v>1</v>
      </c>
      <c r="D13" s="101">
        <v>2</v>
      </c>
      <c r="E13" s="93" t="s">
        <v>112</v>
      </c>
      <c r="F13" s="93" t="s">
        <v>113</v>
      </c>
    </row>
    <row r="14" spans="1:17" ht="117.95" customHeight="1">
      <c r="A14" s="120" t="s">
        <v>114</v>
      </c>
      <c r="B14" s="101">
        <v>4</v>
      </c>
      <c r="C14" s="101">
        <v>4</v>
      </c>
      <c r="D14" s="101">
        <v>7</v>
      </c>
      <c r="E14" s="99" t="s">
        <v>115</v>
      </c>
      <c r="F14" s="93" t="s">
        <v>116</v>
      </c>
    </row>
    <row r="15" spans="1:17" ht="60">
      <c r="A15" s="118" t="s">
        <v>117</v>
      </c>
      <c r="B15" s="101">
        <v>3</v>
      </c>
      <c r="C15" s="101">
        <v>3</v>
      </c>
      <c r="D15" s="101">
        <v>5</v>
      </c>
      <c r="E15" s="99" t="s">
        <v>118</v>
      </c>
      <c r="F15" s="93" t="s">
        <v>119</v>
      </c>
    </row>
    <row r="16" spans="1:17" ht="90">
      <c r="A16" s="118" t="s">
        <v>120</v>
      </c>
      <c r="B16" s="101">
        <v>2</v>
      </c>
      <c r="C16" s="101">
        <v>3</v>
      </c>
      <c r="D16" s="101">
        <v>4</v>
      </c>
      <c r="E16" s="102" t="s">
        <v>121</v>
      </c>
      <c r="F16" s="93" t="s">
        <v>122</v>
      </c>
    </row>
    <row r="17" spans="1:6" ht="74.099999999999994" customHeight="1">
      <c r="A17" s="118" t="s">
        <v>123</v>
      </c>
      <c r="B17" s="101"/>
      <c r="C17" s="101"/>
      <c r="D17" s="101"/>
      <c r="E17" s="97" t="s">
        <v>124</v>
      </c>
      <c r="F17" s="93" t="s">
        <v>125</v>
      </c>
    </row>
    <row r="18" spans="1:6">
      <c r="A18" s="118" t="s">
        <v>126</v>
      </c>
      <c r="B18" s="101">
        <v>1</v>
      </c>
      <c r="C18" s="101">
        <v>3</v>
      </c>
      <c r="D18" s="101">
        <v>3</v>
      </c>
      <c r="E18" s="93" t="s">
        <v>127</v>
      </c>
      <c r="F18" s="93"/>
    </row>
    <row r="19" spans="1:6" ht="83.45" customHeight="1">
      <c r="A19" s="119" t="s">
        <v>128</v>
      </c>
      <c r="B19" s="101">
        <v>2</v>
      </c>
      <c r="C19" s="101">
        <v>2</v>
      </c>
      <c r="D19" s="101">
        <v>3</v>
      </c>
      <c r="E19" s="105" t="s">
        <v>129</v>
      </c>
      <c r="F19" s="93" t="s">
        <v>130</v>
      </c>
    </row>
    <row r="20" spans="1:6" ht="45">
      <c r="A20" s="118" t="s">
        <v>131</v>
      </c>
      <c r="B20" s="101">
        <v>3</v>
      </c>
      <c r="C20" s="101">
        <v>2</v>
      </c>
      <c r="D20" s="101">
        <v>4</v>
      </c>
      <c r="E20" s="97" t="s">
        <v>132</v>
      </c>
      <c r="F20" s="93" t="s">
        <v>133</v>
      </c>
    </row>
    <row r="21" spans="1:6" ht="45">
      <c r="A21" s="118" t="s">
        <v>134</v>
      </c>
      <c r="B21" s="107">
        <v>2</v>
      </c>
      <c r="C21" s="107">
        <v>3</v>
      </c>
      <c r="D21" s="101">
        <v>4</v>
      </c>
      <c r="E21" s="93" t="s">
        <v>135</v>
      </c>
      <c r="F21" s="93" t="s">
        <v>136</v>
      </c>
    </row>
    <row r="22" spans="1:6" ht="45">
      <c r="A22" s="118" t="s">
        <v>137</v>
      </c>
      <c r="B22" s="101">
        <v>2</v>
      </c>
      <c r="C22" s="101">
        <v>3</v>
      </c>
      <c r="D22" s="101">
        <v>4</v>
      </c>
      <c r="E22" s="93" t="s">
        <v>138</v>
      </c>
      <c r="F22" s="93" t="s">
        <v>139</v>
      </c>
    </row>
    <row r="23" spans="1:6" ht="60">
      <c r="A23" s="120" t="s">
        <v>140</v>
      </c>
      <c r="B23" s="101">
        <v>4</v>
      </c>
      <c r="C23" s="101">
        <v>3</v>
      </c>
      <c r="D23" s="101">
        <v>6</v>
      </c>
      <c r="E23" s="99" t="s">
        <v>141</v>
      </c>
      <c r="F23" s="93" t="s">
        <v>142</v>
      </c>
    </row>
    <row r="24" spans="1:6" ht="63.6" customHeight="1">
      <c r="A24" s="118" t="s">
        <v>143</v>
      </c>
      <c r="B24" s="101">
        <v>2</v>
      </c>
      <c r="C24" s="101">
        <v>3</v>
      </c>
      <c r="D24" s="101">
        <v>4</v>
      </c>
      <c r="E24" s="97" t="s">
        <v>144</v>
      </c>
      <c r="F24" s="93" t="s">
        <v>145</v>
      </c>
    </row>
    <row r="25" spans="1:6" ht="60">
      <c r="A25" s="118" t="s">
        <v>146</v>
      </c>
      <c r="B25" s="101">
        <v>2</v>
      </c>
      <c r="C25" s="101">
        <v>1</v>
      </c>
      <c r="D25" s="101">
        <v>2</v>
      </c>
      <c r="E25" s="93" t="s">
        <v>147</v>
      </c>
      <c r="F25" s="93" t="s">
        <v>148</v>
      </c>
    </row>
    <row r="26" spans="1:6" ht="39.6" customHeight="1">
      <c r="A26" s="118" t="s">
        <v>149</v>
      </c>
      <c r="B26" s="101">
        <v>3</v>
      </c>
      <c r="C26" s="101">
        <v>4</v>
      </c>
      <c r="D26" s="101">
        <v>6</v>
      </c>
      <c r="E26" s="97" t="s">
        <v>150</v>
      </c>
      <c r="F26" s="93" t="s">
        <v>151</v>
      </c>
    </row>
    <row r="27" spans="1:6" ht="68.45" customHeight="1">
      <c r="A27" s="118" t="s">
        <v>152</v>
      </c>
      <c r="B27" s="101">
        <v>2</v>
      </c>
      <c r="C27" s="101">
        <v>3</v>
      </c>
      <c r="D27" s="101">
        <v>4</v>
      </c>
      <c r="E27" s="106" t="s">
        <v>153</v>
      </c>
      <c r="F27" s="93" t="s">
        <v>154</v>
      </c>
    </row>
    <row r="28" spans="1:6" ht="84.95" customHeight="1">
      <c r="A28" s="118" t="s">
        <v>155</v>
      </c>
      <c r="B28" s="101">
        <v>2</v>
      </c>
      <c r="C28" s="101">
        <v>3</v>
      </c>
      <c r="D28" s="101">
        <v>4</v>
      </c>
      <c r="E28" s="104" t="s">
        <v>156</v>
      </c>
      <c r="F28" s="93" t="s">
        <v>157</v>
      </c>
    </row>
    <row r="29" spans="1:6" ht="45">
      <c r="A29" s="118" t="s">
        <v>158</v>
      </c>
      <c r="B29" s="101">
        <v>3</v>
      </c>
      <c r="C29" s="101">
        <v>2</v>
      </c>
      <c r="D29" s="101">
        <v>4</v>
      </c>
      <c r="E29" s="94" t="s">
        <v>159</v>
      </c>
      <c r="F29" s="93" t="s">
        <v>160</v>
      </c>
    </row>
    <row r="30" spans="1:6" ht="45">
      <c r="A30" s="118" t="s">
        <v>161</v>
      </c>
      <c r="B30" s="101">
        <v>4</v>
      </c>
      <c r="C30" s="101">
        <v>3</v>
      </c>
      <c r="D30" s="101">
        <v>6</v>
      </c>
      <c r="E30" s="93" t="s">
        <v>162</v>
      </c>
      <c r="F30" s="93" t="s">
        <v>163</v>
      </c>
    </row>
    <row r="31" spans="1:6" ht="45" customHeight="1">
      <c r="A31" s="118" t="s">
        <v>164</v>
      </c>
      <c r="B31" s="101">
        <v>2</v>
      </c>
      <c r="C31" s="101">
        <v>1</v>
      </c>
      <c r="D31" s="101">
        <v>2</v>
      </c>
      <c r="E31" s="99" t="s">
        <v>165</v>
      </c>
      <c r="F31" s="93" t="s">
        <v>166</v>
      </c>
    </row>
    <row r="32" spans="1:6" ht="90">
      <c r="A32" s="120" t="s">
        <v>167</v>
      </c>
      <c r="B32" s="101">
        <v>3</v>
      </c>
      <c r="C32" s="101">
        <v>3</v>
      </c>
      <c r="D32" s="101">
        <v>5</v>
      </c>
      <c r="E32" s="102" t="s">
        <v>168</v>
      </c>
      <c r="F32" s="93" t="s">
        <v>169</v>
      </c>
    </row>
    <row r="33" spans="1:6" ht="90.95" customHeight="1">
      <c r="A33" s="118" t="s">
        <v>170</v>
      </c>
      <c r="B33" s="101">
        <v>2</v>
      </c>
      <c r="C33" s="101">
        <v>4</v>
      </c>
      <c r="D33" s="101">
        <v>5</v>
      </c>
      <c r="E33" s="93" t="s">
        <v>171</v>
      </c>
      <c r="F33" s="93" t="s">
        <v>172</v>
      </c>
    </row>
    <row r="34" spans="1:6" ht="30">
      <c r="A34" s="118" t="s">
        <v>173</v>
      </c>
      <c r="B34" s="101">
        <v>3</v>
      </c>
      <c r="C34" s="101">
        <v>3</v>
      </c>
      <c r="D34" s="101">
        <v>5</v>
      </c>
      <c r="E34" s="93" t="s">
        <v>174</v>
      </c>
      <c r="F34" s="93" t="s">
        <v>175</v>
      </c>
    </row>
    <row r="35" spans="1:6" ht="68.45" customHeight="1">
      <c r="A35" s="118" t="s">
        <v>176</v>
      </c>
      <c r="B35" s="101">
        <v>3</v>
      </c>
      <c r="C35" s="101">
        <v>4</v>
      </c>
      <c r="D35" s="101">
        <v>6</v>
      </c>
      <c r="E35" s="97" t="s">
        <v>177</v>
      </c>
      <c r="F35" s="93" t="s">
        <v>178</v>
      </c>
    </row>
    <row r="36" spans="1:6" ht="84.6" customHeight="1">
      <c r="A36" s="120" t="s">
        <v>179</v>
      </c>
      <c r="B36" s="101">
        <v>3</v>
      </c>
      <c r="C36" s="101">
        <v>4</v>
      </c>
      <c r="D36" s="101">
        <v>7</v>
      </c>
      <c r="E36" s="99" t="s">
        <v>180</v>
      </c>
      <c r="F36" s="93" t="s">
        <v>181</v>
      </c>
    </row>
    <row r="37" spans="1:6">
      <c r="A37" s="118" t="s">
        <v>182</v>
      </c>
      <c r="B37" s="101">
        <v>1</v>
      </c>
      <c r="C37" s="101">
        <v>0</v>
      </c>
      <c r="D37" s="101">
        <v>0</v>
      </c>
      <c r="E37" s="93"/>
      <c r="F37" s="93" t="s">
        <v>183</v>
      </c>
    </row>
    <row r="38" spans="1:6" ht="39.6" customHeight="1">
      <c r="A38" s="118" t="s">
        <v>184</v>
      </c>
      <c r="B38" s="101">
        <v>2</v>
      </c>
      <c r="C38" s="101">
        <v>1</v>
      </c>
      <c r="D38" s="101">
        <v>2</v>
      </c>
      <c r="E38" s="97" t="s">
        <v>185</v>
      </c>
      <c r="F38" s="93" t="s">
        <v>186</v>
      </c>
    </row>
    <row r="39" spans="1:6" ht="98.45" customHeight="1">
      <c r="A39" s="120" t="s">
        <v>187</v>
      </c>
      <c r="B39" s="101">
        <v>2</v>
      </c>
      <c r="C39" s="101">
        <v>3</v>
      </c>
      <c r="D39" s="101">
        <v>4</v>
      </c>
      <c r="E39" s="103" t="s">
        <v>188</v>
      </c>
      <c r="F39" s="93" t="s">
        <v>189</v>
      </c>
    </row>
    <row r="40" spans="1:6" ht="75">
      <c r="A40" s="118" t="s">
        <v>190</v>
      </c>
      <c r="B40" s="101">
        <v>4</v>
      </c>
      <c r="C40" s="101">
        <v>4</v>
      </c>
      <c r="D40" s="101">
        <v>7</v>
      </c>
      <c r="E40" s="99" t="s">
        <v>191</v>
      </c>
      <c r="F40" s="93" t="s">
        <v>192</v>
      </c>
    </row>
    <row r="41" spans="1:6" ht="120.95" customHeight="1">
      <c r="A41" s="118" t="s">
        <v>193</v>
      </c>
      <c r="B41" s="101">
        <v>3</v>
      </c>
      <c r="C41" s="101">
        <v>3</v>
      </c>
      <c r="D41" s="101">
        <v>5</v>
      </c>
      <c r="E41" s="99" t="s">
        <v>194</v>
      </c>
      <c r="F41" s="93" t="s">
        <v>195</v>
      </c>
    </row>
    <row r="42" spans="1:6" ht="45">
      <c r="A42" s="118" t="s">
        <v>196</v>
      </c>
      <c r="B42" s="101">
        <v>4</v>
      </c>
      <c r="C42" s="101">
        <v>1</v>
      </c>
      <c r="D42" s="101">
        <v>4</v>
      </c>
      <c r="E42" s="93" t="s">
        <v>197</v>
      </c>
      <c r="F42" s="93" t="s">
        <v>198</v>
      </c>
    </row>
    <row r="43" spans="1:6" ht="51.6" customHeight="1">
      <c r="A43" s="118" t="s">
        <v>199</v>
      </c>
      <c r="B43" s="107">
        <v>2</v>
      </c>
      <c r="C43" s="107">
        <v>1</v>
      </c>
      <c r="D43" s="101">
        <v>2</v>
      </c>
      <c r="E43" s="97" t="s">
        <v>200</v>
      </c>
      <c r="F43" s="93" t="s">
        <v>201</v>
      </c>
    </row>
    <row r="44" spans="1:6">
      <c r="A44" s="118" t="s">
        <v>202</v>
      </c>
      <c r="B44" s="101">
        <v>2</v>
      </c>
      <c r="C44" s="101">
        <v>1</v>
      </c>
      <c r="D44" s="101">
        <v>2</v>
      </c>
      <c r="E44" s="93" t="s">
        <v>203</v>
      </c>
      <c r="F44" s="93"/>
    </row>
    <row r="45" spans="1:6" ht="30">
      <c r="A45" s="118" t="s">
        <v>204</v>
      </c>
      <c r="B45" s="101">
        <v>2</v>
      </c>
      <c r="C45" s="101">
        <v>1</v>
      </c>
      <c r="D45" s="101">
        <v>2</v>
      </c>
      <c r="E45" s="93" t="s">
        <v>205</v>
      </c>
      <c r="F45" s="93" t="s">
        <v>206</v>
      </c>
    </row>
    <row r="46" spans="1:6" ht="30">
      <c r="A46" s="118" t="s">
        <v>207</v>
      </c>
      <c r="B46" s="107">
        <v>2</v>
      </c>
      <c r="C46" s="107">
        <v>3</v>
      </c>
      <c r="D46" s="101">
        <v>4</v>
      </c>
      <c r="E46" s="93" t="s">
        <v>208</v>
      </c>
      <c r="F46" s="93" t="s">
        <v>209</v>
      </c>
    </row>
    <row r="47" spans="1:6" ht="45">
      <c r="A47" s="118" t="s">
        <v>210</v>
      </c>
      <c r="B47" s="101">
        <v>3</v>
      </c>
      <c r="C47" s="101">
        <v>3</v>
      </c>
      <c r="D47" s="101">
        <v>5</v>
      </c>
      <c r="E47" s="93" t="s">
        <v>211</v>
      </c>
      <c r="F47" s="93" t="s">
        <v>212</v>
      </c>
    </row>
    <row r="48" spans="1:6" ht="25.5" customHeight="1">
      <c r="A48" s="118" t="s">
        <v>213</v>
      </c>
      <c r="B48" s="101">
        <v>4</v>
      </c>
      <c r="C48" s="101">
        <v>1</v>
      </c>
      <c r="D48" s="101">
        <v>4</v>
      </c>
      <c r="E48" s="97" t="s">
        <v>214</v>
      </c>
      <c r="F48" s="93" t="s">
        <v>215</v>
      </c>
    </row>
    <row r="49" spans="1:6" ht="72" customHeight="1">
      <c r="A49" s="118" t="s">
        <v>216</v>
      </c>
      <c r="B49" s="101">
        <v>2</v>
      </c>
      <c r="C49" s="101">
        <v>3</v>
      </c>
      <c r="D49" s="101">
        <v>4</v>
      </c>
      <c r="E49" s="97" t="s">
        <v>217</v>
      </c>
      <c r="F49" s="93" t="s">
        <v>218</v>
      </c>
    </row>
    <row r="50" spans="1:6" ht="47.45" customHeight="1">
      <c r="A50" s="118" t="s">
        <v>219</v>
      </c>
      <c r="B50" s="101">
        <v>4</v>
      </c>
      <c r="C50" s="101">
        <v>2</v>
      </c>
      <c r="D50" s="101">
        <v>5</v>
      </c>
      <c r="E50" s="97" t="s">
        <v>220</v>
      </c>
      <c r="F50" s="93" t="s">
        <v>221</v>
      </c>
    </row>
    <row r="51" spans="1:6">
      <c r="A51" s="118" t="s">
        <v>222</v>
      </c>
      <c r="B51" s="101">
        <v>2</v>
      </c>
      <c r="C51" s="101">
        <v>3</v>
      </c>
      <c r="D51" s="101">
        <v>4</v>
      </c>
      <c r="E51" s="93" t="s">
        <v>223</v>
      </c>
      <c r="F51" s="93"/>
    </row>
    <row r="52" spans="1:6" ht="45">
      <c r="A52" s="118" t="s">
        <v>224</v>
      </c>
      <c r="B52" s="101">
        <v>2</v>
      </c>
      <c r="C52" s="101">
        <v>1</v>
      </c>
      <c r="D52" s="101">
        <v>2</v>
      </c>
      <c r="E52" s="93" t="s">
        <v>225</v>
      </c>
      <c r="F52" s="93" t="s">
        <v>226</v>
      </c>
    </row>
    <row r="53" spans="1:6" ht="51.95" customHeight="1">
      <c r="A53" s="118" t="s">
        <v>227</v>
      </c>
      <c r="B53" s="101">
        <v>3</v>
      </c>
      <c r="C53" s="101">
        <v>4</v>
      </c>
      <c r="D53" s="101">
        <v>6</v>
      </c>
      <c r="E53" s="93" t="s">
        <v>228</v>
      </c>
      <c r="F53" s="93" t="s">
        <v>229</v>
      </c>
    </row>
    <row r="54" spans="1:6" ht="45" customHeight="1">
      <c r="A54" s="118" t="s">
        <v>230</v>
      </c>
      <c r="B54" s="101">
        <v>4</v>
      </c>
      <c r="C54" s="101">
        <v>2</v>
      </c>
      <c r="D54" s="101">
        <v>5</v>
      </c>
      <c r="E54" s="97" t="s">
        <v>231</v>
      </c>
      <c r="F54" s="93" t="s">
        <v>232</v>
      </c>
    </row>
    <row r="55" spans="1:6" ht="45">
      <c r="A55" s="118" t="s">
        <v>233</v>
      </c>
      <c r="B55" s="101">
        <v>3</v>
      </c>
      <c r="C55" s="101">
        <v>4</v>
      </c>
      <c r="D55" s="101">
        <v>6</v>
      </c>
      <c r="E55" s="100" t="s">
        <v>234</v>
      </c>
      <c r="F55" s="93" t="s">
        <v>235</v>
      </c>
    </row>
    <row r="56" spans="1:6" ht="60">
      <c r="A56" s="118" t="s">
        <v>236</v>
      </c>
      <c r="B56" s="101">
        <v>2</v>
      </c>
      <c r="C56" s="101">
        <v>3</v>
      </c>
      <c r="D56" s="101">
        <v>4</v>
      </c>
      <c r="E56" s="105" t="s">
        <v>237</v>
      </c>
      <c r="F56" s="93" t="s">
        <v>238</v>
      </c>
    </row>
    <row r="57" spans="1:6" ht="75">
      <c r="A57" s="118" t="s">
        <v>239</v>
      </c>
      <c r="B57" s="101">
        <v>3</v>
      </c>
      <c r="C57" s="101">
        <v>3</v>
      </c>
      <c r="D57" s="101">
        <v>5</v>
      </c>
      <c r="E57" s="99" t="s">
        <v>240</v>
      </c>
      <c r="F57" s="93" t="s">
        <v>241</v>
      </c>
    </row>
    <row r="58" spans="1:6" ht="30">
      <c r="A58" s="118" t="s">
        <v>242</v>
      </c>
      <c r="B58" s="101">
        <v>4</v>
      </c>
      <c r="C58" s="101">
        <v>2</v>
      </c>
      <c r="D58" s="101">
        <v>5</v>
      </c>
      <c r="E58" s="97" t="s">
        <v>243</v>
      </c>
      <c r="F58" s="93" t="s">
        <v>244</v>
      </c>
    </row>
    <row r="59" spans="1:6" ht="60">
      <c r="A59" s="118" t="s">
        <v>245</v>
      </c>
      <c r="B59" s="101">
        <v>2</v>
      </c>
      <c r="C59" s="101">
        <v>3</v>
      </c>
      <c r="D59" s="101">
        <v>4</v>
      </c>
      <c r="E59" s="99" t="s">
        <v>246</v>
      </c>
      <c r="F59" s="93" t="s">
        <v>247</v>
      </c>
    </row>
    <row r="60" spans="1:6" ht="60">
      <c r="A60" s="120" t="s">
        <v>248</v>
      </c>
      <c r="B60" s="101">
        <v>2</v>
      </c>
      <c r="C60" s="101">
        <v>1</v>
      </c>
      <c r="D60" s="101">
        <v>2</v>
      </c>
      <c r="E60" s="100" t="s">
        <v>249</v>
      </c>
      <c r="F60" s="93" t="s">
        <v>250</v>
      </c>
    </row>
    <row r="72" spans="1:1">
      <c r="A72" s="121" t="s">
        <v>73</v>
      </c>
    </row>
    <row r="73" spans="1:1">
      <c r="A73" s="122" t="s">
        <v>251</v>
      </c>
    </row>
    <row r="74" spans="1:1">
      <c r="A74" s="122" t="s">
        <v>252</v>
      </c>
    </row>
    <row r="75" spans="1:1">
      <c r="A75" s="122" t="s">
        <v>253</v>
      </c>
    </row>
    <row r="76" spans="1:1">
      <c r="A76" s="122" t="s">
        <v>254</v>
      </c>
    </row>
    <row r="77" spans="1:1">
      <c r="A77" s="122" t="s">
        <v>255</v>
      </c>
    </row>
    <row r="78" spans="1:1">
      <c r="A78" s="122" t="s">
        <v>256</v>
      </c>
    </row>
    <row r="79" spans="1:1" ht="30">
      <c r="A79" s="122" t="s">
        <v>257</v>
      </c>
    </row>
    <row r="80" spans="1:1">
      <c r="A80" s="122" t="s">
        <v>258</v>
      </c>
    </row>
    <row r="81" spans="1:5">
      <c r="A81" s="122" t="s">
        <v>259</v>
      </c>
    </row>
    <row r="82" spans="1:5">
      <c r="A82" s="122" t="s">
        <v>260</v>
      </c>
    </row>
    <row r="83" spans="1:5">
      <c r="A83" s="122" t="s">
        <v>261</v>
      </c>
      <c r="E83" s="87"/>
    </row>
    <row r="84" spans="1:5">
      <c r="A84" s="122" t="s">
        <v>262</v>
      </c>
      <c r="E84" s="87"/>
    </row>
    <row r="85" spans="1:5">
      <c r="A85" s="122" t="s">
        <v>263</v>
      </c>
      <c r="E85" s="87"/>
    </row>
    <row r="86" spans="1:5">
      <c r="A86" s="122" t="s">
        <v>264</v>
      </c>
      <c r="E86" s="87"/>
    </row>
    <row r="87" spans="1:5">
      <c r="A87" s="122" t="s">
        <v>265</v>
      </c>
      <c r="E87" s="87"/>
    </row>
    <row r="88" spans="1:5">
      <c r="A88" s="122" t="s">
        <v>266</v>
      </c>
      <c r="E88" s="87"/>
    </row>
    <row r="89" spans="1:5">
      <c r="A89" s="122" t="s">
        <v>267</v>
      </c>
      <c r="E89" s="87"/>
    </row>
    <row r="90" spans="1:5">
      <c r="A90" s="122" t="s">
        <v>268</v>
      </c>
      <c r="E90" s="87"/>
    </row>
    <row r="91" spans="1:5">
      <c r="A91" s="122" t="s">
        <v>269</v>
      </c>
      <c r="E91" s="87"/>
    </row>
    <row r="92" spans="1:5">
      <c r="A92" s="122" t="s">
        <v>270</v>
      </c>
      <c r="E92" s="87"/>
    </row>
    <row r="93" spans="1:5" ht="30">
      <c r="A93" s="122" t="s">
        <v>271</v>
      </c>
      <c r="E93" s="87"/>
    </row>
    <row r="94" spans="1:5">
      <c r="A94" s="122" t="s">
        <v>272</v>
      </c>
      <c r="E94" s="87"/>
    </row>
    <row r="95" spans="1:5">
      <c r="A95" s="122" t="s">
        <v>273</v>
      </c>
      <c r="E95" s="87"/>
    </row>
    <row r="96" spans="1:5">
      <c r="A96" s="122" t="s">
        <v>274</v>
      </c>
      <c r="E96" s="87"/>
    </row>
    <row r="97" spans="1:5">
      <c r="A97" s="122" t="s">
        <v>275</v>
      </c>
      <c r="E97" s="87"/>
    </row>
    <row r="98" spans="1:5">
      <c r="A98" s="122" t="s">
        <v>276</v>
      </c>
      <c r="E98" s="87"/>
    </row>
    <row r="99" spans="1:5">
      <c r="A99" s="122" t="s">
        <v>277</v>
      </c>
      <c r="E99" s="87"/>
    </row>
    <row r="100" spans="1:5">
      <c r="A100" s="122" t="s">
        <v>278</v>
      </c>
      <c r="E100" s="87"/>
    </row>
    <row r="101" spans="1:5">
      <c r="A101" s="122" t="s">
        <v>279</v>
      </c>
      <c r="E101" s="87"/>
    </row>
    <row r="102" spans="1:5">
      <c r="A102" s="122" t="s">
        <v>280</v>
      </c>
      <c r="E102" s="87"/>
    </row>
    <row r="103" spans="1:5">
      <c r="A103" s="122" t="s">
        <v>281</v>
      </c>
      <c r="E103" s="87"/>
    </row>
    <row r="104" spans="1:5">
      <c r="A104" s="122" t="s">
        <v>282</v>
      </c>
      <c r="E104" s="87"/>
    </row>
    <row r="105" spans="1:5">
      <c r="A105" s="122" t="s">
        <v>283</v>
      </c>
      <c r="E105" s="87"/>
    </row>
    <row r="106" spans="1:5">
      <c r="A106" s="122" t="s">
        <v>284</v>
      </c>
      <c r="E106" s="87"/>
    </row>
    <row r="107" spans="1:5">
      <c r="A107" s="122" t="s">
        <v>285</v>
      </c>
      <c r="E107" s="87"/>
    </row>
    <row r="108" spans="1:5">
      <c r="A108" s="122" t="s">
        <v>286</v>
      </c>
      <c r="E108" s="87"/>
    </row>
    <row r="109" spans="1:5">
      <c r="A109" s="122" t="s">
        <v>287</v>
      </c>
      <c r="E109" s="87"/>
    </row>
    <row r="110" spans="1:5">
      <c r="A110" s="122" t="s">
        <v>288</v>
      </c>
      <c r="E110" s="87"/>
    </row>
    <row r="111" spans="1:5">
      <c r="A111" s="122" t="s">
        <v>289</v>
      </c>
      <c r="E111" s="87"/>
    </row>
    <row r="112" spans="1:5">
      <c r="A112" s="122" t="s">
        <v>186</v>
      </c>
      <c r="E112" s="87"/>
    </row>
    <row r="113" spans="1:5">
      <c r="A113" s="122" t="s">
        <v>290</v>
      </c>
      <c r="E113" s="87"/>
    </row>
    <row r="114" spans="1:5">
      <c r="A114" s="122" t="s">
        <v>291</v>
      </c>
      <c r="E114" s="87"/>
    </row>
    <row r="115" spans="1:5">
      <c r="A115" s="122" t="s">
        <v>292</v>
      </c>
      <c r="E115" s="87"/>
    </row>
    <row r="116" spans="1:5">
      <c r="A116" s="122" t="s">
        <v>293</v>
      </c>
      <c r="E116" s="87"/>
    </row>
    <row r="117" spans="1:5">
      <c r="A117" s="122" t="s">
        <v>294</v>
      </c>
      <c r="E117" s="87"/>
    </row>
    <row r="118" spans="1:5">
      <c r="A118" s="122" t="s">
        <v>295</v>
      </c>
      <c r="E118" s="87"/>
    </row>
    <row r="119" spans="1:5">
      <c r="A119" s="122" t="s">
        <v>296</v>
      </c>
      <c r="E119" s="87"/>
    </row>
    <row r="120" spans="1:5">
      <c r="A120" s="122" t="s">
        <v>297</v>
      </c>
      <c r="E120" s="87"/>
    </row>
    <row r="121" spans="1:5">
      <c r="A121" s="122" t="s">
        <v>298</v>
      </c>
      <c r="E121" s="87"/>
    </row>
    <row r="122" spans="1:5">
      <c r="A122" s="123" t="s">
        <v>299</v>
      </c>
      <c r="E122" s="87"/>
    </row>
    <row r="123" spans="1:5">
      <c r="A123" s="122" t="s">
        <v>300</v>
      </c>
      <c r="E123" s="87"/>
    </row>
    <row r="124" spans="1:5">
      <c r="A124" s="123" t="s">
        <v>301</v>
      </c>
      <c r="E124" s="87"/>
    </row>
    <row r="125" spans="1:5">
      <c r="A125" s="122" t="s">
        <v>302</v>
      </c>
      <c r="E125" s="87"/>
    </row>
    <row r="126" spans="1:5">
      <c r="A126" s="123" t="s">
        <v>303</v>
      </c>
      <c r="E126" s="87"/>
    </row>
    <row r="127" spans="1:5">
      <c r="A127" s="122" t="s">
        <v>304</v>
      </c>
      <c r="E127" s="87"/>
    </row>
    <row r="128" spans="1:5">
      <c r="A128" s="122" t="s">
        <v>305</v>
      </c>
      <c r="E128" s="87"/>
    </row>
    <row r="129" spans="1:5">
      <c r="A129" s="122" t="s">
        <v>306</v>
      </c>
      <c r="E129" s="87"/>
    </row>
    <row r="130" spans="1:5">
      <c r="A130" s="122" t="s">
        <v>307</v>
      </c>
      <c r="E130" s="87"/>
    </row>
    <row r="131" spans="1:5">
      <c r="A131" s="122" t="s">
        <v>308</v>
      </c>
      <c r="E131" s="87"/>
    </row>
    <row r="132" spans="1:5">
      <c r="A132" s="122" t="s">
        <v>309</v>
      </c>
      <c r="E132" s="87"/>
    </row>
    <row r="133" spans="1:5">
      <c r="A133" s="122" t="s">
        <v>310</v>
      </c>
      <c r="E133" s="87"/>
    </row>
    <row r="134" spans="1:5">
      <c r="A134" s="122" t="s">
        <v>311</v>
      </c>
      <c r="E134" s="87"/>
    </row>
    <row r="135" spans="1:5">
      <c r="A135" s="122" t="s">
        <v>312</v>
      </c>
      <c r="E135" s="87"/>
    </row>
    <row r="136" spans="1:5">
      <c r="A136" s="122" t="s">
        <v>313</v>
      </c>
      <c r="E136" s="87"/>
    </row>
    <row r="137" spans="1:5">
      <c r="A137" s="122" t="s">
        <v>314</v>
      </c>
      <c r="E137" s="87"/>
    </row>
    <row r="138" spans="1:5">
      <c r="A138" s="122" t="s">
        <v>315</v>
      </c>
      <c r="E138" s="87"/>
    </row>
    <row r="139" spans="1:5">
      <c r="A139" s="122" t="s">
        <v>316</v>
      </c>
      <c r="E139" s="87"/>
    </row>
    <row r="140" spans="1:5">
      <c r="A140" s="122" t="s">
        <v>317</v>
      </c>
      <c r="E140" s="87"/>
    </row>
    <row r="141" spans="1:5">
      <c r="A141" s="122" t="s">
        <v>318</v>
      </c>
      <c r="E141" s="87"/>
    </row>
    <row r="142" spans="1:5" ht="30">
      <c r="A142" s="122" t="s">
        <v>319</v>
      </c>
      <c r="E142" s="87"/>
    </row>
    <row r="143" spans="1:5" ht="30">
      <c r="A143" s="122" t="s">
        <v>320</v>
      </c>
      <c r="E143" s="87"/>
    </row>
    <row r="144" spans="1:5">
      <c r="A144" s="122" t="s">
        <v>321</v>
      </c>
      <c r="E144" s="87"/>
    </row>
    <row r="145" spans="1:5">
      <c r="A145" s="122" t="s">
        <v>322</v>
      </c>
      <c r="E145" s="87"/>
    </row>
    <row r="146" spans="1:5">
      <c r="A146" s="122" t="s">
        <v>323</v>
      </c>
      <c r="E146" s="87"/>
    </row>
    <row r="147" spans="1:5">
      <c r="A147" s="122" t="s">
        <v>324</v>
      </c>
      <c r="E147" s="87"/>
    </row>
    <row r="148" spans="1:5">
      <c r="A148" s="124" t="s">
        <v>325</v>
      </c>
      <c r="E148" s="87"/>
    </row>
    <row r="149" spans="1:5">
      <c r="A149" s="122" t="s">
        <v>326</v>
      </c>
      <c r="E149" s="87"/>
    </row>
    <row r="150" spans="1:5">
      <c r="A150" s="122" t="s">
        <v>327</v>
      </c>
      <c r="E150" s="87"/>
    </row>
    <row r="151" spans="1:5">
      <c r="A151" s="122" t="s">
        <v>328</v>
      </c>
      <c r="E151" s="87"/>
    </row>
    <row r="152" spans="1:5">
      <c r="A152" s="122" t="s">
        <v>329</v>
      </c>
      <c r="E152" s="87"/>
    </row>
    <row r="153" spans="1:5">
      <c r="A153" s="122" t="s">
        <v>330</v>
      </c>
      <c r="E153" s="87"/>
    </row>
    <row r="154" spans="1:5">
      <c r="A154" s="122" t="s">
        <v>331</v>
      </c>
      <c r="E154" s="87"/>
    </row>
    <row r="155" spans="1:5">
      <c r="A155" s="122" t="s">
        <v>332</v>
      </c>
      <c r="E155" s="87"/>
    </row>
    <row r="156" spans="1:5">
      <c r="A156" s="122" t="s">
        <v>333</v>
      </c>
      <c r="E156" s="87"/>
    </row>
    <row r="157" spans="1:5">
      <c r="A157" s="122" t="s">
        <v>334</v>
      </c>
      <c r="E157" s="87"/>
    </row>
    <row r="158" spans="1:5">
      <c r="A158" s="122" t="s">
        <v>335</v>
      </c>
      <c r="E158" s="87"/>
    </row>
    <row r="159" spans="1:5">
      <c r="A159" s="122" t="s">
        <v>336</v>
      </c>
      <c r="E159" s="87"/>
    </row>
    <row r="160" spans="1:5">
      <c r="A160" s="122" t="s">
        <v>337</v>
      </c>
      <c r="E160" s="87"/>
    </row>
    <row r="161" spans="1:5">
      <c r="A161" s="122" t="s">
        <v>338</v>
      </c>
      <c r="E161" s="87"/>
    </row>
    <row r="162" spans="1:5">
      <c r="A162" s="122" t="s">
        <v>339</v>
      </c>
      <c r="E162" s="87"/>
    </row>
    <row r="163" spans="1:5">
      <c r="A163" s="122" t="s">
        <v>340</v>
      </c>
      <c r="E163" s="87"/>
    </row>
    <row r="164" spans="1:5">
      <c r="A164" s="122" t="s">
        <v>341</v>
      </c>
      <c r="E164" s="87"/>
    </row>
    <row r="165" spans="1:5">
      <c r="A165" s="122" t="s">
        <v>342</v>
      </c>
      <c r="E165" s="87"/>
    </row>
    <row r="166" spans="1:5">
      <c r="A166" s="122" t="s">
        <v>343</v>
      </c>
      <c r="E166" s="87"/>
    </row>
    <row r="167" spans="1:5">
      <c r="A167" s="122" t="s">
        <v>344</v>
      </c>
      <c r="E167" s="87"/>
    </row>
    <row r="168" spans="1:5">
      <c r="A168" s="122" t="s">
        <v>215</v>
      </c>
      <c r="E168" s="87"/>
    </row>
    <row r="169" spans="1:5">
      <c r="A169" s="122" t="s">
        <v>345</v>
      </c>
      <c r="E169" s="87"/>
    </row>
    <row r="170" spans="1:5">
      <c r="A170" s="122" t="s">
        <v>346</v>
      </c>
      <c r="E170" s="87"/>
    </row>
    <row r="171" spans="1:5">
      <c r="A171" s="122" t="s">
        <v>347</v>
      </c>
      <c r="E171" s="87"/>
    </row>
    <row r="172" spans="1:5">
      <c r="A172" s="122" t="s">
        <v>348</v>
      </c>
      <c r="E172" s="87"/>
    </row>
    <row r="173" spans="1:5">
      <c r="A173" s="122" t="s">
        <v>349</v>
      </c>
      <c r="E173" s="87"/>
    </row>
    <row r="174" spans="1:5">
      <c r="A174" s="122" t="s">
        <v>350</v>
      </c>
      <c r="E174" s="87"/>
    </row>
    <row r="175" spans="1:5">
      <c r="A175" s="122" t="s">
        <v>351</v>
      </c>
      <c r="E175" s="87"/>
    </row>
    <row r="176" spans="1:5" ht="30">
      <c r="A176" s="122" t="s">
        <v>352</v>
      </c>
      <c r="E176" s="87"/>
    </row>
    <row r="177" spans="1:5">
      <c r="A177" s="122" t="s">
        <v>353</v>
      </c>
      <c r="E177" s="87"/>
    </row>
    <row r="178" spans="1:5">
      <c r="A178" s="122" t="s">
        <v>354</v>
      </c>
      <c r="E178" s="87"/>
    </row>
    <row r="179" spans="1:5">
      <c r="A179" s="122" t="s">
        <v>355</v>
      </c>
      <c r="E179" s="87"/>
    </row>
    <row r="180" spans="1:5" ht="30">
      <c r="A180" s="122" t="s">
        <v>356</v>
      </c>
    </row>
    <row r="181" spans="1:5">
      <c r="A181" s="122" t="s">
        <v>357</v>
      </c>
    </row>
    <row r="182" spans="1:5">
      <c r="A182" s="122" t="s">
        <v>358</v>
      </c>
    </row>
    <row r="183" spans="1:5">
      <c r="A183" s="122" t="s">
        <v>359</v>
      </c>
    </row>
  </sheetData>
  <autoFilter ref="A1:F183" xr:uid="{E19FE469-8306-465F-BB43-01C83C1508EB}">
    <sortState xmlns:xlrd2="http://schemas.microsoft.com/office/spreadsheetml/2017/richdata2" ref="A2:F179">
      <sortCondition ref="A2:A179"/>
    </sortState>
  </autoFilter>
  <conditionalFormatting sqref="D2:D60">
    <cfRule type="cellIs" dxfId="6" priority="1" operator="between">
      <formula>3.41</formula>
      <formula>5.99</formula>
    </cfRule>
    <cfRule type="cellIs" dxfId="5" priority="2" operator="lessThanOrEqual">
      <formula>3.4</formula>
    </cfRule>
    <cfRule type="cellIs" dxfId="4" priority="3" operator="greaterThanOrEqual">
      <formula>6</formula>
    </cfRule>
  </conditionalFormatting>
  <hyperlinks>
    <hyperlink ref="E4" r:id="rId1" xr:uid="{82F180DB-C129-4601-B446-2A0382557535}"/>
    <hyperlink ref="E20" r:id="rId2" xr:uid="{8FB705D4-B87F-4590-BC3B-97DC95AD010B}"/>
    <hyperlink ref="E49" r:id="rId3" display="SWAT should be used to mitigate risk from  Thermal Stress (Hot/Cold).  IH TRA - IH03 Heat Stress Risk Assessment or IH - IH04 Cold Stress Risk Assessment should be in place, communicated and acted upon as applicable." xr:uid="{2554BBEB-0E43-4D65-B920-2F21A8E5DF19}"/>
    <hyperlink ref="E35" r:id="rId4" display="Ensure that the load is held close to the body, the back is straight and the legs are used to lift the load.  Use additional persons or machinery as required to prevent awkward or heavy loads causing injury.  IH TRA - IH15  Ergonomics - Manual Handling Risk Assessment should be in place, communicated and acted upon" xr:uid="{3187B236-4B26-4D0A-8A3D-57530ADB4912}"/>
    <hyperlink ref="E38" r:id="rId5" display="SWAT should be used to mitigate risk from workplace noise.  Protective earwear should be selected to mitigate the risk where admin and engineering controls do not completely mitigate the risk.  IH TRA - IH02 Noise Risk Assessment should be in place, communicated and acted upon" xr:uid="{0278CE5D-9ADA-4275-97BF-A261CD5ADB4E}"/>
    <hyperlink ref="E28" r:id="rId6" display="Use SWAT before starting the activities to identify and control fire and explosion hazards. Adhere to GE Vernova Fire and Explosion Life Saving Rules and Standards. Remove or protect all flammable and combustible materials within the work area. Ensure fire extinguishers, fire watch, and emergency response equipment are readily available. Use suitable fire-retardant screens or barriers to contain sparks and hot particles. Ensuring a Hot Work Permit (P&amp;S Plan Tab T) should be in place to support Hot Work Activities. And fully implemented" xr:uid="{08DE5BD0-988A-4D1C-8B43-545C644D8544}"/>
    <hyperlink ref="E58" r:id="rId7" xr:uid="{A193C4F1-429F-4C85-BEC2-E75EC41B3060}"/>
    <hyperlink ref="E43" r:id="rId8" display="A radiation control plan should be in place, communicated and enforced for the duration of the radiation activity. Radiation zone entry control must be in place.  IH TRA - IH05 Radiation - Nuclear - Ionising Risk Assessment should be in place, communicated and acted upon" xr:uid="{A21A5C38-69A5-40C0-B552-4E11DB19BB40}"/>
    <hyperlink ref="E54" r:id="rId9" xr:uid="{70558649-4E4E-4AD7-AECE-AD90521BF968}"/>
    <hyperlink ref="E48" r:id="rId10" xr:uid="{9FBFAB99-97A8-4744-ACDC-B6730490EBE8}"/>
    <hyperlink ref="E17" r:id="rId11" xr:uid="{1BA8E9E8-3F17-4DEC-951F-344406015C7A}"/>
    <hyperlink ref="E24" r:id="rId12" display="Sypol Chemical Risk assessment and/or Safety Data Sheets (SDS) should be reviewed with controls and PPE specified worn and controls followed.  The chemical must be approved and on the chemical inventory  (P&amp;S Plan Tab L).   IH TRA - IH07 Chemicals Risk Assessment should be in place, communicated and acted upon" xr:uid="{180B7242-E56A-4E2A-9E94-CB9021E4C1F0}"/>
    <hyperlink ref="E26" r:id="rId13" display="Heavy Metals, dusts or fumes to be controlled and appropriate PPE &amp; RPE worn.  IH TRA - IH09 Heavy Metals Risk Assessment should be in place, communicated and acted upon.  If any suspicious residue is observed (ex: Hexavalent Chromium) in a gas, steam &amp; Aero units or associated pipework STOP WORK and contact your manager and/or EHS representative for additional guidance and assistance" xr:uid="{F777D3EC-919D-42F7-AEF5-3D2B26A1313E}"/>
    <hyperlink ref="E29" r:id="rId14" display="A Hot Work Permit (P&amp;S Plan Tab T) should be in place to support Hot Work Activities.   IH TRA - IH09 Heavy Metalwork inc. Welding, Brazing, etc. Risk Assessment should be in place, communicated and acted upon" xr:uid="{ACBB86EB-6B87-44FE-A9C2-3971085FB7B1}"/>
    <hyperlink ref="E50" r:id="rId15" xr:uid="{FCD5DDF1-D282-4C3A-9C78-1EC9803C4A5B}"/>
    <hyperlink ref="E2" r:id="rId16" display="SWAT should be used to mitigate risk for other working parties including impact due to Noise, dust and fumes.  Refer to IH TRA(s) IH02 Noise, IH07 Chemicals, &amp; IH09 Heavy Metal Work Risk Assessments" xr:uid="{18618347-621E-468E-8B7A-23244EC8537E}"/>
  </hyperlinks>
  <pageMargins left="0.7" right="0.7" top="0.75" bottom="0.75" header="0.3" footer="0.3"/>
  <pageSetup paperSize="9" orientation="portrait" r:id="rId1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17D80-EE5C-42BA-9AD1-66C404F0CC7B}">
  <sheetPr codeName="Sheet8">
    <pageSetUpPr fitToPage="1"/>
  </sheetPr>
  <dimension ref="A1:P20"/>
  <sheetViews>
    <sheetView zoomScale="90" zoomScaleNormal="90" workbookViewId="0">
      <selection activeCell="I8" sqref="I8:K8"/>
    </sheetView>
  </sheetViews>
  <sheetFormatPr defaultColWidth="0" defaultRowHeight="14.45" zeroHeight="1"/>
  <cols>
    <col min="1" max="1" width="3.5703125" style="1" customWidth="1"/>
    <col min="2" max="2" width="14.140625" style="1" customWidth="1"/>
    <col min="3" max="3" width="14.7109375" style="1" customWidth="1"/>
    <col min="4" max="4" width="15" style="1" customWidth="1"/>
    <col min="5" max="5" width="14.5703125" style="1" customWidth="1"/>
    <col min="6" max="6" width="14.42578125" style="1" customWidth="1"/>
    <col min="7" max="7" width="13.28515625" style="1" customWidth="1"/>
    <col min="8" max="8" width="3" style="1" customWidth="1"/>
    <col min="9" max="9" width="12.28515625" style="1" customWidth="1"/>
    <col min="10" max="10" width="28.5703125" style="1" customWidth="1"/>
    <col min="11" max="11" width="51.28515625" style="1" customWidth="1"/>
    <col min="12" max="12" width="56.28515625" style="1" customWidth="1"/>
    <col min="13" max="13" width="3.140625" style="1" customWidth="1"/>
    <col min="14" max="16" width="0" style="1" hidden="1" customWidth="1"/>
    <col min="17" max="16384" width="8" style="1" hidden="1"/>
  </cols>
  <sheetData>
    <row r="1" spans="1:13" ht="7.5" customHeight="1">
      <c r="A1" s="2"/>
      <c r="B1" s="2"/>
      <c r="C1" s="2"/>
      <c r="D1" s="2"/>
      <c r="E1" s="2"/>
      <c r="F1" s="2"/>
      <c r="G1" s="2"/>
      <c r="H1" s="2"/>
      <c r="I1" s="2"/>
      <c r="J1" s="2"/>
      <c r="K1" s="2"/>
      <c r="L1" s="2"/>
    </row>
    <row r="2" spans="1:13" ht="15" customHeight="1">
      <c r="A2" s="2"/>
      <c r="B2" s="2"/>
      <c r="C2" s="297" t="s">
        <v>360</v>
      </c>
      <c r="D2" s="298"/>
      <c r="E2" s="298"/>
      <c r="F2" s="298"/>
      <c r="G2" s="299"/>
      <c r="H2" s="2"/>
      <c r="I2" s="2"/>
      <c r="J2" s="2"/>
      <c r="K2" s="2"/>
      <c r="L2" s="2"/>
      <c r="M2" s="2"/>
    </row>
    <row r="3" spans="1:13" ht="21.75" customHeight="1">
      <c r="A3" s="2"/>
      <c r="B3" s="306" t="s">
        <v>361</v>
      </c>
      <c r="C3" s="290" t="s">
        <v>362</v>
      </c>
      <c r="D3" s="293" t="s">
        <v>363</v>
      </c>
      <c r="E3" s="294"/>
      <c r="F3" s="291" t="s">
        <v>364</v>
      </c>
      <c r="G3" s="290" t="s">
        <v>365</v>
      </c>
      <c r="H3" s="2"/>
      <c r="I3" s="302" t="s">
        <v>366</v>
      </c>
      <c r="J3" s="303"/>
      <c r="K3" s="300" t="s">
        <v>367</v>
      </c>
      <c r="L3" s="300" t="s">
        <v>368</v>
      </c>
      <c r="M3" s="2"/>
    </row>
    <row r="4" spans="1:13" ht="15.75" customHeight="1">
      <c r="A4" s="2"/>
      <c r="B4" s="307"/>
      <c r="C4" s="290"/>
      <c r="D4" s="295"/>
      <c r="E4" s="296"/>
      <c r="F4" s="292"/>
      <c r="G4" s="290"/>
      <c r="H4" s="2"/>
      <c r="I4" s="304"/>
      <c r="J4" s="305"/>
      <c r="K4" s="301"/>
      <c r="L4" s="301"/>
      <c r="M4" s="2"/>
    </row>
    <row r="5" spans="1:13" ht="52.5" customHeight="1">
      <c r="A5" s="2"/>
      <c r="B5" s="308"/>
      <c r="C5" s="9" t="s">
        <v>369</v>
      </c>
      <c r="D5" s="9" t="s">
        <v>370</v>
      </c>
      <c r="E5" s="9" t="s">
        <v>371</v>
      </c>
      <c r="F5" s="9" t="s">
        <v>372</v>
      </c>
      <c r="G5" s="9" t="s">
        <v>373</v>
      </c>
      <c r="H5" s="2"/>
      <c r="I5" s="17" t="s">
        <v>374</v>
      </c>
      <c r="J5" s="16" t="s">
        <v>375</v>
      </c>
      <c r="K5" s="39" t="s">
        <v>376</v>
      </c>
      <c r="L5" s="38" t="s">
        <v>377</v>
      </c>
      <c r="M5" s="2"/>
    </row>
    <row r="6" spans="1:13" ht="59.25" customHeight="1">
      <c r="A6" s="2"/>
      <c r="B6" s="9" t="s">
        <v>378</v>
      </c>
      <c r="C6" s="7">
        <v>5</v>
      </c>
      <c r="D6" s="11">
        <v>6</v>
      </c>
      <c r="E6" s="11">
        <v>7</v>
      </c>
      <c r="F6" s="11">
        <v>8</v>
      </c>
      <c r="G6" s="11">
        <v>9</v>
      </c>
      <c r="H6" s="2"/>
      <c r="I6" s="15" t="s">
        <v>379</v>
      </c>
      <c r="J6" s="14" t="s">
        <v>380</v>
      </c>
      <c r="K6" s="39" t="s">
        <v>381</v>
      </c>
      <c r="L6" s="38" t="s">
        <v>382</v>
      </c>
      <c r="M6" s="2"/>
    </row>
    <row r="7" spans="1:13" ht="59.25" customHeight="1">
      <c r="A7" s="2"/>
      <c r="B7" s="9" t="s">
        <v>383</v>
      </c>
      <c r="C7" s="7">
        <v>4</v>
      </c>
      <c r="D7" s="7">
        <v>5</v>
      </c>
      <c r="E7" s="11">
        <v>6</v>
      </c>
      <c r="F7" s="11">
        <v>7</v>
      </c>
      <c r="G7" s="11">
        <v>8</v>
      </c>
      <c r="H7" s="2"/>
      <c r="I7" s="13" t="s">
        <v>384</v>
      </c>
      <c r="J7" s="12" t="s">
        <v>385</v>
      </c>
      <c r="K7" s="39" t="s">
        <v>386</v>
      </c>
      <c r="L7" s="38" t="s">
        <v>387</v>
      </c>
      <c r="M7" s="2"/>
    </row>
    <row r="8" spans="1:13" ht="59.25" customHeight="1">
      <c r="A8" s="2"/>
      <c r="B8" s="9" t="s">
        <v>388</v>
      </c>
      <c r="C8" s="8">
        <v>3</v>
      </c>
      <c r="D8" s="7">
        <v>4</v>
      </c>
      <c r="E8" s="7">
        <v>5</v>
      </c>
      <c r="F8" s="11">
        <v>6</v>
      </c>
      <c r="G8" s="11">
        <v>7</v>
      </c>
      <c r="H8" s="2"/>
      <c r="I8" s="289" t="s">
        <v>389</v>
      </c>
      <c r="J8" s="289"/>
      <c r="K8" s="289"/>
      <c r="L8" s="2"/>
      <c r="M8" s="2"/>
    </row>
    <row r="9" spans="1:13" ht="59.25" customHeight="1">
      <c r="A9" s="2"/>
      <c r="B9" s="9" t="s">
        <v>390</v>
      </c>
      <c r="C9" s="8">
        <v>2</v>
      </c>
      <c r="D9" s="8">
        <v>3</v>
      </c>
      <c r="E9" s="7">
        <v>4</v>
      </c>
      <c r="F9" s="7">
        <v>5</v>
      </c>
      <c r="G9" s="11">
        <v>6</v>
      </c>
      <c r="H9" s="2"/>
      <c r="I9" s="288"/>
      <c r="J9" s="2"/>
      <c r="K9" s="2"/>
      <c r="L9" s="10"/>
      <c r="M9" s="2"/>
    </row>
    <row r="10" spans="1:13" ht="59.25" customHeight="1">
      <c r="A10" s="2"/>
      <c r="B10" s="9" t="s">
        <v>391</v>
      </c>
      <c r="C10" s="8">
        <v>1</v>
      </c>
      <c r="D10" s="8">
        <v>2</v>
      </c>
      <c r="E10" s="8">
        <v>3</v>
      </c>
      <c r="F10" s="7">
        <v>4</v>
      </c>
      <c r="G10" s="7">
        <v>5</v>
      </c>
      <c r="H10" s="2"/>
      <c r="I10" s="288"/>
      <c r="J10" s="6"/>
      <c r="K10" s="6"/>
      <c r="L10" s="6"/>
      <c r="M10" s="2"/>
    </row>
    <row r="11" spans="1:13" ht="12.75" customHeight="1">
      <c r="A11" s="2"/>
      <c r="B11" s="5"/>
      <c r="C11" s="5"/>
      <c r="D11" s="5"/>
      <c r="E11" s="5"/>
      <c r="F11" s="5"/>
      <c r="G11" s="5"/>
      <c r="H11" s="2"/>
      <c r="I11" s="4"/>
      <c r="J11" s="2"/>
      <c r="K11" s="2"/>
      <c r="L11" s="2"/>
      <c r="M11" s="2"/>
    </row>
    <row r="12" spans="1:13" ht="59.25" hidden="1" customHeight="1">
      <c r="A12" s="2"/>
      <c r="B12" s="3"/>
      <c r="C12" s="3"/>
      <c r="D12" s="3"/>
      <c r="E12" s="3"/>
      <c r="F12" s="3"/>
      <c r="G12" s="3"/>
    </row>
    <row r="13" spans="1:13" ht="57" hidden="1" customHeight="1">
      <c r="A13" s="2"/>
    </row>
    <row r="14" spans="1:13" ht="51" hidden="1" customHeight="1"/>
    <row r="15" spans="1:13" ht="51" hidden="1" customHeight="1"/>
    <row r="16" spans="1:13" ht="57.75" hidden="1" customHeight="1"/>
    <row r="17" spans="1:13" ht="51" hidden="1" customHeight="1"/>
    <row r="18" spans="1:13" ht="51" hidden="1" customHeight="1"/>
    <row r="19" spans="1:13" hidden="1">
      <c r="A19" s="2"/>
      <c r="B19" s="2"/>
      <c r="C19" s="2"/>
      <c r="D19" s="2"/>
      <c r="E19" s="2"/>
      <c r="F19" s="2"/>
      <c r="G19" s="2"/>
      <c r="H19" s="2"/>
      <c r="I19" s="2"/>
      <c r="J19" s="2"/>
      <c r="K19" s="2"/>
      <c r="L19" s="2"/>
      <c r="M19" s="2"/>
    </row>
    <row r="20" spans="1:13" hidden="1">
      <c r="A20" s="2"/>
      <c r="B20" s="2"/>
      <c r="C20" s="2"/>
      <c r="D20" s="2"/>
      <c r="E20" s="2"/>
      <c r="F20" s="2"/>
      <c r="G20" s="2"/>
      <c r="H20" s="2"/>
      <c r="I20" s="2"/>
      <c r="J20" s="2"/>
      <c r="K20" s="2"/>
      <c r="L20" s="2"/>
      <c r="M20" s="2"/>
    </row>
  </sheetData>
  <mergeCells count="11">
    <mergeCell ref="C2:G2"/>
    <mergeCell ref="L3:L4"/>
    <mergeCell ref="I3:J4"/>
    <mergeCell ref="K3:K4"/>
    <mergeCell ref="B3:B5"/>
    <mergeCell ref="I9:I10"/>
    <mergeCell ref="I8:K8"/>
    <mergeCell ref="C3:C4"/>
    <mergeCell ref="G3:G4"/>
    <mergeCell ref="F3:F4"/>
    <mergeCell ref="D3:E4"/>
  </mergeCells>
  <pageMargins left="0.14000000000000001" right="0.25" top="0.49" bottom="0.48" header="0.3" footer="0.3"/>
  <pageSetup paperSize="9" scale="59" fitToHeight="0" orientation="landscape" r:id="rId1"/>
  <headerFooter>
    <oddHeader>&amp;L&amp;"Gotham Rounded Book,Regular"FC-GL-EHS-MAN-0501-F3 (Tab Q) (Issue 7) - Risk Matrix</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BECCC0-0F39-4962-8E62-526A1D07C046}">
  <sheetPr codeName="Sheet9">
    <pageSetUpPr fitToPage="1"/>
  </sheetPr>
  <dimension ref="A1:I9"/>
  <sheetViews>
    <sheetView zoomScaleNormal="100" workbookViewId="0">
      <selection activeCell="D7" sqref="D7"/>
    </sheetView>
  </sheetViews>
  <sheetFormatPr defaultColWidth="0" defaultRowHeight="14.45" zeroHeight="1"/>
  <cols>
    <col min="1" max="1" width="1.42578125" style="1" customWidth="1"/>
    <col min="2" max="2" width="9.140625" style="1" customWidth="1"/>
    <col min="3" max="3" width="11.85546875" style="1" customWidth="1"/>
    <col min="4" max="4" width="42.42578125" style="1" bestFit="1" customWidth="1"/>
    <col min="5" max="5" width="47" style="1" bestFit="1" customWidth="1"/>
    <col min="6" max="6" width="61.42578125" style="1" customWidth="1"/>
    <col min="7" max="7" width="41.7109375" style="1" customWidth="1"/>
    <col min="8" max="8" width="43" style="1" bestFit="1" customWidth="1"/>
    <col min="9" max="9" width="1.42578125" style="2" customWidth="1"/>
    <col min="10" max="16384" width="8" style="1" hidden="1"/>
  </cols>
  <sheetData>
    <row r="1" spans="1:8" ht="6" customHeight="1">
      <c r="A1" s="2"/>
      <c r="B1" s="2"/>
    </row>
    <row r="2" spans="1:8" ht="43.5" customHeight="1">
      <c r="A2" s="2"/>
      <c r="B2" s="109" t="s">
        <v>392</v>
      </c>
      <c r="C2" s="110" t="s">
        <v>393</v>
      </c>
      <c r="D2" s="111" t="s">
        <v>394</v>
      </c>
      <c r="E2" s="111" t="s">
        <v>395</v>
      </c>
      <c r="F2" s="111" t="s">
        <v>396</v>
      </c>
      <c r="G2" s="111" t="s">
        <v>397</v>
      </c>
      <c r="H2" s="111" t="s">
        <v>398</v>
      </c>
    </row>
    <row r="3" spans="1:8" ht="108.75" customHeight="1">
      <c r="A3" s="2"/>
      <c r="B3" s="108" t="s">
        <v>399</v>
      </c>
      <c r="C3" s="112" t="s">
        <v>29</v>
      </c>
      <c r="D3" s="113" t="s">
        <v>400</v>
      </c>
      <c r="E3" s="114" t="s">
        <v>401</v>
      </c>
      <c r="F3" s="113" t="s">
        <v>402</v>
      </c>
      <c r="G3" s="113" t="s">
        <v>403</v>
      </c>
      <c r="H3" s="113" t="s">
        <v>404</v>
      </c>
    </row>
    <row r="4" spans="1:8" ht="119.25" customHeight="1">
      <c r="A4" s="2"/>
      <c r="B4" s="108" t="s">
        <v>364</v>
      </c>
      <c r="C4" s="112" t="s">
        <v>28</v>
      </c>
      <c r="D4" s="113" t="s">
        <v>405</v>
      </c>
      <c r="E4" s="113" t="s">
        <v>406</v>
      </c>
      <c r="F4" s="113" t="s">
        <v>407</v>
      </c>
      <c r="G4" s="113" t="s">
        <v>408</v>
      </c>
      <c r="H4" s="113" t="s">
        <v>409</v>
      </c>
    </row>
    <row r="5" spans="1:8" ht="119.25" customHeight="1">
      <c r="A5" s="2"/>
      <c r="B5" s="291" t="s">
        <v>363</v>
      </c>
      <c r="C5" s="115" t="s">
        <v>27</v>
      </c>
      <c r="D5" s="113" t="s">
        <v>410</v>
      </c>
      <c r="E5" s="113" t="s">
        <v>411</v>
      </c>
      <c r="F5" s="116" t="s">
        <v>412</v>
      </c>
      <c r="G5" s="113" t="s">
        <v>413</v>
      </c>
      <c r="H5" s="113" t="s">
        <v>414</v>
      </c>
    </row>
    <row r="6" spans="1:8" ht="107.25" customHeight="1">
      <c r="A6" s="2"/>
      <c r="B6" s="292"/>
      <c r="C6" s="115" t="s">
        <v>26</v>
      </c>
      <c r="D6" s="113" t="s">
        <v>415</v>
      </c>
      <c r="E6" s="113" t="s">
        <v>416</v>
      </c>
      <c r="F6" s="113" t="s">
        <v>417</v>
      </c>
      <c r="G6" s="113" t="s">
        <v>418</v>
      </c>
      <c r="H6" s="113" t="s">
        <v>419</v>
      </c>
    </row>
    <row r="7" spans="1:8" ht="108" customHeight="1">
      <c r="A7" s="2"/>
      <c r="B7" s="108" t="s">
        <v>420</v>
      </c>
      <c r="C7" s="112" t="s">
        <v>25</v>
      </c>
      <c r="D7" s="113" t="s">
        <v>421</v>
      </c>
      <c r="E7" s="113" t="s">
        <v>422</v>
      </c>
      <c r="F7" s="113" t="s">
        <v>423</v>
      </c>
      <c r="G7" s="113" t="s">
        <v>424</v>
      </c>
      <c r="H7" s="113" t="s">
        <v>425</v>
      </c>
    </row>
    <row r="8" spans="1:8" ht="9.75" customHeight="1">
      <c r="A8" s="2"/>
      <c r="B8" s="2"/>
      <c r="C8" s="2"/>
      <c r="D8" s="2"/>
      <c r="E8" s="2"/>
      <c r="F8" s="2"/>
      <c r="G8" s="2"/>
      <c r="H8" s="2"/>
    </row>
    <row r="9" spans="1:8" hidden="1">
      <c r="C9" s="2"/>
      <c r="D9" s="2"/>
      <c r="E9" s="2"/>
      <c r="F9" s="2"/>
      <c r="G9" s="2"/>
      <c r="H9" s="2"/>
    </row>
  </sheetData>
  <mergeCells count="1">
    <mergeCell ref="B5:B6"/>
  </mergeCells>
  <pageMargins left="0.25" right="0.25" top="0.47812500000000002" bottom="0.75" header="0.3" footer="0.3"/>
  <pageSetup paperSize="9" scale="54" fitToHeight="0" orientation="landscape" r:id="rId1"/>
  <headerFooter>
    <oddHeader>&amp;L&amp;"Gotham Rounded Book,Regular"FC-GL-EHS-MAN-0501-F3 (Issue 4) - Severity Guidance</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04EB-43D4-458C-8A21-29106B2B0FA6}">
  <sheetPr codeName="Sheet1"/>
  <dimension ref="A1:XFD146"/>
  <sheetViews>
    <sheetView zoomScale="120" zoomScaleNormal="120" workbookViewId="0">
      <selection activeCell="E12" sqref="E12"/>
    </sheetView>
  </sheetViews>
  <sheetFormatPr defaultColWidth="0" defaultRowHeight="14.45" zeroHeight="1"/>
  <cols>
    <col min="1" max="1" width="21.5703125" style="18" customWidth="1"/>
    <col min="2" max="2" width="26.85546875" style="18" customWidth="1"/>
    <col min="3" max="3" width="24.85546875" style="18" customWidth="1"/>
    <col min="4" max="4" width="28.5703125" style="18" customWidth="1"/>
    <col min="5" max="5" width="27" style="18" customWidth="1"/>
    <col min="6" max="6" width="5.5703125" style="19" customWidth="1"/>
    <col min="7" max="16383" width="8" style="18" hidden="1"/>
    <col min="16384" max="16384" width="5.5703125" style="18" hidden="1" customWidth="1"/>
  </cols>
  <sheetData>
    <row r="1" spans="1:5 16384:16384" ht="15" thickBot="1">
      <c r="A1" s="44" t="s">
        <v>426</v>
      </c>
      <c r="B1" s="19"/>
      <c r="C1" s="19"/>
      <c r="D1" s="19"/>
      <c r="E1" s="19"/>
      <c r="XFD1" s="19"/>
    </row>
    <row r="2" spans="1:5 16384:16384" ht="15" thickBot="1">
      <c r="A2" s="28"/>
      <c r="B2" s="31" t="s">
        <v>427</v>
      </c>
      <c r="C2" s="30" t="s">
        <v>19</v>
      </c>
      <c r="D2" s="29" t="s">
        <v>20</v>
      </c>
      <c r="E2" s="30" t="s">
        <v>428</v>
      </c>
      <c r="XFD2" s="19"/>
    </row>
    <row r="3" spans="1:5 16384:16384" ht="15" thickBot="1">
      <c r="A3" s="28" t="s">
        <v>429</v>
      </c>
      <c r="B3" s="27" t="s">
        <v>126</v>
      </c>
      <c r="C3" s="23">
        <f>VLOOKUP(B3,Hazard_Defense_Code!A1:C59,2,0)</f>
        <v>1</v>
      </c>
      <c r="D3" s="23">
        <f>VLOOKUP(B3,Hazard_Defense_Code!A1:C59,3,0)</f>
        <v>3</v>
      </c>
      <c r="E3" s="23">
        <f t="shared" ref="E3:E8" si="0">C3+D3-1</f>
        <v>3</v>
      </c>
      <c r="XFD3" s="19"/>
    </row>
    <row r="4" spans="1:5 16384:16384" ht="15" thickBot="1">
      <c r="A4" s="40" t="s">
        <v>430</v>
      </c>
      <c r="B4" s="27" t="s">
        <v>126</v>
      </c>
      <c r="C4" s="23">
        <f>VLOOKUP(B4,Hazard_Defense_Code!A1:C59,2,0)</f>
        <v>1</v>
      </c>
      <c r="D4" s="23">
        <f>VLOOKUP(B4,Hazard_Defense_Code!A1:C59,3,0)</f>
        <v>3</v>
      </c>
      <c r="E4" s="23">
        <f t="shared" si="0"/>
        <v>3</v>
      </c>
      <c r="XFD4" s="19"/>
    </row>
    <row r="5" spans="1:5 16384:16384" ht="15" thickBot="1">
      <c r="A5" s="40" t="s">
        <v>431</v>
      </c>
      <c r="B5" s="27" t="s">
        <v>126</v>
      </c>
      <c r="C5" s="23">
        <f>VLOOKUP(B5,Hazard_Defense_Code!A1:C59,2,0)</f>
        <v>1</v>
      </c>
      <c r="D5" s="23">
        <f>VLOOKUP(B5,Hazard_Defense_Code!A1:C59,3,0)</f>
        <v>3</v>
      </c>
      <c r="E5" s="23">
        <f t="shared" si="0"/>
        <v>3</v>
      </c>
      <c r="XFD5" s="19"/>
    </row>
    <row r="6" spans="1:5 16384:16384" ht="15" thickBot="1">
      <c r="A6" s="41" t="s">
        <v>432</v>
      </c>
      <c r="B6" s="27" t="s">
        <v>126</v>
      </c>
      <c r="C6" s="23">
        <f>VLOOKUP(B6,Hazard_Defense_Code!A1:C59,2,0)</f>
        <v>1</v>
      </c>
      <c r="D6" s="23">
        <f>VLOOKUP(B6,Hazard_Defense_Code!A1:C59,3,0)</f>
        <v>3</v>
      </c>
      <c r="E6" s="23">
        <f t="shared" si="0"/>
        <v>3</v>
      </c>
      <c r="XFD6" s="19"/>
    </row>
    <row r="7" spans="1:5 16384:16384" ht="16.5" customHeight="1" thickBot="1">
      <c r="A7" s="26"/>
      <c r="B7" s="27" t="s">
        <v>182</v>
      </c>
      <c r="C7" s="25">
        <f>MAX(C3:C6)</f>
        <v>1</v>
      </c>
      <c r="D7" s="25">
        <f>MAX(D3:D6)</f>
        <v>3</v>
      </c>
      <c r="E7" s="23">
        <f t="shared" si="0"/>
        <v>3</v>
      </c>
      <c r="XFD7" s="19"/>
    </row>
    <row r="8" spans="1:5 16384:16384" ht="15.95" customHeight="1" thickBot="1">
      <c r="B8" s="27" t="s">
        <v>182</v>
      </c>
      <c r="C8" s="24">
        <f>MEDIAN(C3:C6)</f>
        <v>1</v>
      </c>
      <c r="D8" s="24">
        <f>MEDIAN(D3:D6)</f>
        <v>3</v>
      </c>
      <c r="E8" s="23">
        <f t="shared" si="0"/>
        <v>3</v>
      </c>
      <c r="XFD8" s="19"/>
    </row>
    <row r="9" spans="1:5 16384:16384" ht="15" thickBot="1">
      <c r="A9" s="309" t="s">
        <v>433</v>
      </c>
      <c r="B9" s="310"/>
      <c r="C9" s="22">
        <f>AVERAGE(C3:C8)</f>
        <v>1</v>
      </c>
      <c r="D9" s="22">
        <f>AVERAGE(D3:D8)</f>
        <v>3</v>
      </c>
      <c r="E9" s="22">
        <f>C9+D9-1</f>
        <v>3</v>
      </c>
      <c r="XFD9" s="19"/>
    </row>
    <row r="10" spans="1:5 16384:16384" s="19" customFormat="1" ht="15" thickBot="1"/>
    <row r="11" spans="1:5 16384:16384" s="19" customFormat="1" ht="15" thickBot="1">
      <c r="A11" s="44" t="s">
        <v>434</v>
      </c>
    </row>
    <row r="12" spans="1:5 16384:16384" ht="34.5" customHeight="1" thickBot="1">
      <c r="A12" s="42" t="s">
        <v>429</v>
      </c>
      <c r="B12" s="21" t="s">
        <v>84</v>
      </c>
      <c r="C12" s="311" t="str">
        <f>VLOOKUP(B12,Hazard_Defense_Code!A1:E59,5,FALSE)</f>
        <v>An supplementary Asbestos Management Plan should be in place. Communicated and acted upon.  IH TRA - IH08 Asbestos Risk Assessment should be in place, communicated and acted upon, STOP WORK if suspect material that may be asbestos uncovered</v>
      </c>
      <c r="D12" s="312"/>
      <c r="E12" s="19"/>
      <c r="XFD12" s="19"/>
    </row>
    <row r="13" spans="1:5 16384:16384" ht="34.5" customHeight="1" thickBot="1">
      <c r="A13" s="42" t="s">
        <v>430</v>
      </c>
      <c r="B13" s="21" t="s">
        <v>87</v>
      </c>
      <c r="C13" s="311" t="str">
        <f>VLOOKUP(B13,Hazard_Defense_Code!A1:E59,5,FALSE)</f>
        <v>A Biological Control Plan shall be established, communicated, and implemented where exposure to biological agents (including animal waste or waterborne contamination) is possible.</v>
      </c>
      <c r="D13" s="312"/>
      <c r="E13" s="19"/>
      <c r="XFD13" s="19"/>
    </row>
    <row r="14" spans="1:5 16384:16384" ht="34.5" customHeight="1" thickBot="1">
      <c r="A14" s="42" t="s">
        <v>431</v>
      </c>
      <c r="B14" s="21" t="s">
        <v>245</v>
      </c>
      <c r="C14" s="311" t="str">
        <f>VLOOKUP(B14,Hazard_Defense_Code!A1:E59,5,FALSE)</f>
        <v>Ensure all scaffolds and elevated work platforms are certified and inspected before use. Use personal fall protection equipment with 100% tie-off to a secure anchorage at all times. Ensure tools and materials are properly secured to prevent dropped objects. Conduct a pre-use inspection of harnesses, lanyards, and anchor points. Maintain clear exclusion zones below work areas, and avoid working directly above other personnel.</v>
      </c>
      <c r="D14" s="312"/>
      <c r="E14" s="19"/>
      <c r="XFD14" s="19"/>
    </row>
    <row r="15" spans="1:5 16384:16384" ht="34.5" customHeight="1" thickBot="1">
      <c r="A15" s="43" t="s">
        <v>432</v>
      </c>
      <c r="B15" s="42" t="s">
        <v>245</v>
      </c>
      <c r="C15" s="311" t="str">
        <f>VLOOKUP(B15,Hazard_Defense_Code!A1:E59,5,FALSE)</f>
        <v>Ensure all scaffolds and elevated work platforms are certified and inspected before use. Use personal fall protection equipment with 100% tie-off to a secure anchorage at all times. Ensure tools and materials are properly secured to prevent dropped objects. Conduct a pre-use inspection of harnesses, lanyards, and anchor points. Maintain clear exclusion zones below work areas, and avoid working directly above other personnel.</v>
      </c>
      <c r="D15" s="312"/>
      <c r="E15" s="19"/>
      <c r="XFD15" s="19"/>
    </row>
    <row r="16" spans="1:5 16384:16384">
      <c r="A16" s="19"/>
      <c r="B16" s="19"/>
      <c r="C16" s="19"/>
      <c r="D16" s="19"/>
      <c r="E16" s="19"/>
      <c r="XFD16" s="19"/>
    </row>
    <row r="17" spans="1:5 16384:16384">
      <c r="A17" s="19"/>
      <c r="B17" s="19"/>
      <c r="C17" s="19"/>
      <c r="D17" s="19"/>
      <c r="E17" s="19"/>
      <c r="XFD17" s="19"/>
    </row>
    <row r="18" spans="1:5 16384:16384" hidden="1">
      <c r="A18" s="19"/>
      <c r="B18" s="19"/>
      <c r="C18" s="45"/>
      <c r="D18" s="45"/>
      <c r="E18" s="20"/>
      <c r="XFD18" s="19"/>
    </row>
    <row r="19" spans="1:5 16384:16384" hidden="1">
      <c r="A19" s="19"/>
      <c r="B19" s="19"/>
      <c r="C19" s="19"/>
      <c r="D19" s="19"/>
      <c r="E19" s="19"/>
      <c r="XFD19" s="19"/>
    </row>
    <row r="20" spans="1:5 16384:16384" hidden="1">
      <c r="A20" s="19"/>
      <c r="B20" s="19"/>
      <c r="C20" s="19"/>
      <c r="D20" s="19"/>
      <c r="E20" s="19"/>
      <c r="XFD20" s="19"/>
    </row>
    <row r="21" spans="1:5 16384:16384" hidden="1">
      <c r="A21" s="19"/>
      <c r="B21" s="19"/>
      <c r="C21" s="19"/>
      <c r="D21" s="19"/>
      <c r="XFD21" s="19"/>
    </row>
    <row r="22" spans="1:5 16384:16384" hidden="1">
      <c r="A22" s="19"/>
      <c r="B22" s="19"/>
      <c r="C22" s="19"/>
      <c r="D22" s="19"/>
      <c r="E22" s="19"/>
      <c r="XFD22" s="19"/>
    </row>
    <row r="23" spans="1:5 16384:16384" hidden="1">
      <c r="A23" s="19"/>
      <c r="B23" s="19"/>
      <c r="C23" s="19"/>
      <c r="D23" s="19"/>
      <c r="E23" s="19"/>
      <c r="XFD23" s="19"/>
    </row>
    <row r="24" spans="1:5 16384:16384" hidden="1">
      <c r="A24" s="19"/>
      <c r="B24" s="19"/>
      <c r="C24" s="19"/>
      <c r="D24" s="19"/>
      <c r="E24" s="19"/>
      <c r="XFD24" s="19"/>
    </row>
    <row r="25" spans="1:5 16384:16384" hidden="1">
      <c r="A25" s="19"/>
      <c r="B25" s="19"/>
      <c r="C25" s="19"/>
      <c r="D25" s="19"/>
      <c r="E25" s="19"/>
      <c r="XFD25" s="19"/>
    </row>
    <row r="26" spans="1:5 16384:16384" hidden="1">
      <c r="A26" s="19"/>
      <c r="B26" s="19"/>
      <c r="C26" s="19"/>
      <c r="D26" s="19"/>
      <c r="E26" s="19"/>
      <c r="XFD26" s="19"/>
    </row>
    <row r="27" spans="1:5 16384:16384" hidden="1">
      <c r="A27" s="19"/>
      <c r="B27" s="19"/>
      <c r="C27" s="19"/>
      <c r="D27" s="19"/>
      <c r="E27" s="19"/>
      <c r="XFD27" s="19"/>
    </row>
    <row r="28" spans="1:5 16384:16384" hidden="1">
      <c r="A28" s="19"/>
      <c r="B28" s="19"/>
      <c r="C28" s="19"/>
      <c r="D28" s="19"/>
      <c r="E28" s="19"/>
      <c r="XFD28" s="19"/>
    </row>
    <row r="29" spans="1:5 16384:16384" hidden="1">
      <c r="A29" s="19"/>
      <c r="B29" s="19"/>
      <c r="C29" s="19"/>
      <c r="D29" s="19"/>
      <c r="E29" s="19"/>
      <c r="XFD29" s="19"/>
    </row>
    <row r="30" spans="1:5 16384:16384" hidden="1">
      <c r="A30" s="19"/>
      <c r="B30" s="19"/>
      <c r="C30" s="19"/>
      <c r="D30" s="19"/>
      <c r="E30" s="19"/>
      <c r="XFD30" s="19"/>
    </row>
    <row r="31" spans="1:5 16384:16384" hidden="1">
      <c r="A31" s="19"/>
      <c r="B31" s="19"/>
      <c r="C31" s="19"/>
      <c r="D31" s="19"/>
      <c r="E31" s="19"/>
      <c r="XFD31" s="19"/>
    </row>
    <row r="32" spans="1:5 16384:16384" hidden="1">
      <c r="A32" s="19"/>
      <c r="B32" s="19"/>
      <c r="C32" s="19"/>
      <c r="D32" s="19"/>
      <c r="E32" s="19"/>
      <c r="XFD32" s="19"/>
    </row>
    <row r="33" spans="1:5 16384:16384" hidden="1">
      <c r="A33" s="19"/>
      <c r="B33" s="19"/>
      <c r="C33" s="19"/>
      <c r="D33" s="19"/>
      <c r="E33" s="19"/>
      <c r="XFD33" s="19"/>
    </row>
    <row r="34" spans="1:5 16384:16384" hidden="1">
      <c r="A34" s="19"/>
      <c r="B34" s="19"/>
      <c r="C34" s="19"/>
      <c r="D34" s="19"/>
      <c r="E34" s="19"/>
      <c r="XFD34" s="19"/>
    </row>
    <row r="35" spans="1:5 16384:16384" hidden="1">
      <c r="A35" s="19"/>
      <c r="B35" s="19"/>
      <c r="C35" s="19"/>
      <c r="D35" s="19"/>
      <c r="E35" s="19"/>
      <c r="XFD35" s="19"/>
    </row>
    <row r="36" spans="1:5 16384:16384" hidden="1">
      <c r="XFD36" s="19"/>
    </row>
    <row r="37" spans="1:5 16384:16384" hidden="1">
      <c r="XFD37" s="19"/>
    </row>
    <row r="38" spans="1:5 16384:16384" hidden="1">
      <c r="XFD38" s="19"/>
    </row>
    <row r="39" spans="1:5 16384:16384" hidden="1">
      <c r="XFD39" s="19"/>
    </row>
    <row r="40" spans="1:5 16384:16384" hidden="1">
      <c r="XFD40" s="19"/>
    </row>
    <row r="41" spans="1:5 16384:16384" hidden="1">
      <c r="XFD41" s="19"/>
    </row>
    <row r="42" spans="1:5 16384:16384" hidden="1">
      <c r="XFD42" s="19"/>
    </row>
    <row r="43" spans="1:5 16384:16384" hidden="1">
      <c r="XFD43" s="19"/>
    </row>
    <row r="44" spans="1:5 16384:16384" hidden="1">
      <c r="XFD44" s="19"/>
    </row>
    <row r="45" spans="1:5 16384:16384" hidden="1">
      <c r="XFD45" s="19"/>
    </row>
    <row r="46" spans="1:5 16384:16384" hidden="1">
      <c r="XFD46" s="19"/>
    </row>
    <row r="47" spans="1:5 16384:16384" hidden="1">
      <c r="XFD47" s="19"/>
    </row>
    <row r="48" spans="1:5 16384:16384" hidden="1">
      <c r="XFD48" s="19"/>
    </row>
    <row r="49" spans="16384:16384" hidden="1">
      <c r="XFD49" s="19"/>
    </row>
    <row r="50" spans="16384:16384" hidden="1">
      <c r="XFD50" s="19"/>
    </row>
    <row r="51" spans="16384:16384" hidden="1">
      <c r="XFD51" s="19"/>
    </row>
    <row r="52" spans="16384:16384" hidden="1">
      <c r="XFD52" s="19"/>
    </row>
    <row r="53" spans="16384:16384" hidden="1">
      <c r="XFD53" s="19"/>
    </row>
    <row r="54" spans="16384:16384" hidden="1">
      <c r="XFD54" s="19"/>
    </row>
    <row r="55" spans="16384:16384" hidden="1">
      <c r="XFD55" s="19"/>
    </row>
    <row r="56" spans="16384:16384" hidden="1">
      <c r="XFD56" s="19"/>
    </row>
    <row r="57" spans="16384:16384" hidden="1">
      <c r="XFD57" s="19"/>
    </row>
    <row r="58" spans="16384:16384" hidden="1">
      <c r="XFD58" s="19"/>
    </row>
    <row r="59" spans="16384:16384" hidden="1">
      <c r="XFD59" s="19"/>
    </row>
    <row r="60" spans="16384:16384" hidden="1">
      <c r="XFD60" s="19"/>
    </row>
    <row r="61" spans="16384:16384" hidden="1">
      <c r="XFD61" s="19"/>
    </row>
    <row r="62" spans="16384:16384" hidden="1">
      <c r="XFD62" s="19"/>
    </row>
    <row r="63" spans="16384:16384" hidden="1">
      <c r="XFD63" s="19"/>
    </row>
    <row r="64" spans="16384:16384" hidden="1">
      <c r="XFD64" s="19"/>
    </row>
    <row r="65" spans="16384:16384" hidden="1">
      <c r="XFD65" s="19"/>
    </row>
    <row r="66" spans="16384:16384" hidden="1">
      <c r="XFD66" s="19"/>
    </row>
    <row r="67" spans="16384:16384" hidden="1">
      <c r="XFD67" s="19"/>
    </row>
    <row r="68" spans="16384:16384" hidden="1">
      <c r="XFD68" s="19"/>
    </row>
    <row r="69" spans="16384:16384" hidden="1">
      <c r="XFD69" s="19"/>
    </row>
    <row r="70" spans="16384:16384" hidden="1">
      <c r="XFD70" s="19"/>
    </row>
    <row r="71" spans="16384:16384" hidden="1">
      <c r="XFD71" s="19"/>
    </row>
    <row r="72" spans="16384:16384" hidden="1">
      <c r="XFD72" s="19"/>
    </row>
    <row r="73" spans="16384:16384" hidden="1">
      <c r="XFD73" s="19"/>
    </row>
    <row r="74" spans="16384:16384" hidden="1">
      <c r="XFD74" s="19"/>
    </row>
    <row r="75" spans="16384:16384" hidden="1">
      <c r="XFD75" s="19"/>
    </row>
    <row r="76" spans="16384:16384" hidden="1">
      <c r="XFD76" s="19"/>
    </row>
    <row r="77" spans="16384:16384" hidden="1">
      <c r="XFD77" s="19"/>
    </row>
    <row r="78" spans="16384:16384" hidden="1">
      <c r="XFD78" s="19"/>
    </row>
    <row r="79" spans="16384:16384" hidden="1">
      <c r="XFD79" s="19"/>
    </row>
    <row r="80" spans="16384:16384" hidden="1">
      <c r="XFD80" s="19"/>
    </row>
    <row r="81" spans="16384:16384" hidden="1">
      <c r="XFD81" s="19"/>
    </row>
    <row r="82" spans="16384:16384" hidden="1">
      <c r="XFD82" s="19"/>
    </row>
    <row r="83" spans="16384:16384" hidden="1">
      <c r="XFD83" s="19"/>
    </row>
    <row r="84" spans="16384:16384" hidden="1">
      <c r="XFD84" s="19"/>
    </row>
    <row r="85" spans="16384:16384" hidden="1">
      <c r="XFD85" s="19"/>
    </row>
    <row r="86" spans="16384:16384" hidden="1">
      <c r="XFD86" s="19"/>
    </row>
    <row r="87" spans="16384:16384" hidden="1">
      <c r="XFD87" s="19"/>
    </row>
    <row r="88" spans="16384:16384" hidden="1">
      <c r="XFD88" s="19"/>
    </row>
    <row r="89" spans="16384:16384" hidden="1">
      <c r="XFD89" s="19"/>
    </row>
    <row r="90" spans="16384:16384" hidden="1">
      <c r="XFD90" s="19"/>
    </row>
    <row r="91" spans="16384:16384" hidden="1">
      <c r="XFD91" s="19"/>
    </row>
    <row r="92" spans="16384:16384" hidden="1">
      <c r="XFD92" s="19"/>
    </row>
    <row r="93" spans="16384:16384" hidden="1">
      <c r="XFD93" s="19"/>
    </row>
    <row r="94" spans="16384:16384" hidden="1">
      <c r="XFD94" s="19"/>
    </row>
    <row r="95" spans="16384:16384" hidden="1">
      <c r="XFD95" s="19"/>
    </row>
    <row r="96" spans="16384:16384" hidden="1">
      <c r="XFD96" s="19"/>
    </row>
    <row r="97" spans="16384:16384" hidden="1">
      <c r="XFD97" s="19"/>
    </row>
    <row r="98" spans="16384:16384" hidden="1">
      <c r="XFD98" s="19"/>
    </row>
    <row r="99" spans="16384:16384" hidden="1">
      <c r="XFD99" s="19"/>
    </row>
    <row r="100" spans="16384:16384" hidden="1">
      <c r="XFD100" s="19"/>
    </row>
    <row r="101" spans="16384:16384" hidden="1">
      <c r="XFD101" s="19"/>
    </row>
    <row r="102" spans="16384:16384" hidden="1">
      <c r="XFD102" s="19"/>
    </row>
    <row r="103" spans="16384:16384" hidden="1">
      <c r="XFD103" s="19"/>
    </row>
    <row r="104" spans="16384:16384" hidden="1">
      <c r="XFD104" s="19"/>
    </row>
    <row r="105" spans="16384:16384" hidden="1">
      <c r="XFD105" s="19"/>
    </row>
    <row r="106" spans="16384:16384" hidden="1">
      <c r="XFD106" s="19"/>
    </row>
    <row r="107" spans="16384:16384" hidden="1">
      <c r="XFD107" s="19"/>
    </row>
    <row r="108" spans="16384:16384" hidden="1">
      <c r="XFD108" s="19"/>
    </row>
    <row r="109" spans="16384:16384" hidden="1">
      <c r="XFD109" s="19"/>
    </row>
    <row r="110" spans="16384:16384" hidden="1">
      <c r="XFD110" s="19"/>
    </row>
    <row r="111" spans="16384:16384" hidden="1">
      <c r="XFD111" s="19"/>
    </row>
    <row r="112" spans="16384:16384" hidden="1">
      <c r="XFD112" s="19"/>
    </row>
    <row r="113" spans="16384:16384" hidden="1">
      <c r="XFD113" s="19"/>
    </row>
    <row r="114" spans="16384:16384" hidden="1">
      <c r="XFD114" s="19"/>
    </row>
    <row r="115" spans="16384:16384" hidden="1">
      <c r="XFD115" s="19"/>
    </row>
    <row r="116" spans="16384:16384" hidden="1">
      <c r="XFD116" s="19"/>
    </row>
    <row r="117" spans="16384:16384" hidden="1">
      <c r="XFD117" s="19"/>
    </row>
    <row r="118" spans="16384:16384" hidden="1">
      <c r="XFD118" s="19"/>
    </row>
    <row r="119" spans="16384:16384" hidden="1">
      <c r="XFD119" s="19"/>
    </row>
    <row r="120" spans="16384:16384" hidden="1">
      <c r="XFD120" s="19"/>
    </row>
    <row r="121" spans="16384:16384" hidden="1">
      <c r="XFD121" s="19"/>
    </row>
    <row r="122" spans="16384:16384" hidden="1">
      <c r="XFD122" s="19"/>
    </row>
    <row r="123" spans="16384:16384" hidden="1">
      <c r="XFD123" s="19"/>
    </row>
    <row r="124" spans="16384:16384" hidden="1">
      <c r="XFD124" s="19"/>
    </row>
    <row r="125" spans="16384:16384" hidden="1">
      <c r="XFD125" s="19"/>
    </row>
    <row r="126" spans="16384:16384" hidden="1">
      <c r="XFD126" s="19"/>
    </row>
    <row r="127" spans="16384:16384" hidden="1">
      <c r="XFD127" s="19"/>
    </row>
    <row r="128" spans="16384:16384" hidden="1">
      <c r="XFD128" s="19"/>
    </row>
    <row r="129" spans="16384:16384" hidden="1">
      <c r="XFD129" s="19"/>
    </row>
    <row r="130" spans="16384:16384" hidden="1">
      <c r="XFD130" s="19"/>
    </row>
    <row r="131" spans="16384:16384" hidden="1">
      <c r="XFD131" s="19"/>
    </row>
    <row r="132" spans="16384:16384" hidden="1">
      <c r="XFD132" s="19"/>
    </row>
    <row r="133" spans="16384:16384" hidden="1">
      <c r="XFD133" s="19"/>
    </row>
    <row r="134" spans="16384:16384" hidden="1">
      <c r="XFD134" s="19"/>
    </row>
    <row r="135" spans="16384:16384" hidden="1">
      <c r="XFD135" s="19"/>
    </row>
    <row r="136" spans="16384:16384" hidden="1">
      <c r="XFD136" s="19"/>
    </row>
    <row r="137" spans="16384:16384" hidden="1">
      <c r="XFD137" s="19"/>
    </row>
    <row r="138" spans="16384:16384" hidden="1">
      <c r="XFD138" s="19"/>
    </row>
    <row r="139" spans="16384:16384" hidden="1">
      <c r="XFD139" s="19"/>
    </row>
    <row r="140" spans="16384:16384" hidden="1">
      <c r="XFD140" s="19"/>
    </row>
    <row r="141" spans="16384:16384" hidden="1">
      <c r="XFD141" s="19"/>
    </row>
    <row r="142" spans="16384:16384" hidden="1">
      <c r="XFD142" s="19"/>
    </row>
    <row r="143" spans="16384:16384" hidden="1">
      <c r="XFD143" s="19"/>
    </row>
    <row r="144" spans="16384:16384" hidden="1">
      <c r="XFD144" s="19"/>
    </row>
    <row r="145" spans="16384:16384" hidden="1">
      <c r="XFD145" s="19"/>
    </row>
    <row r="146" spans="16384:16384" hidden="1">
      <c r="XFD146" s="19"/>
    </row>
  </sheetData>
  <mergeCells count="5">
    <mergeCell ref="A9:B9"/>
    <mergeCell ref="C12:D12"/>
    <mergeCell ref="C13:D13"/>
    <mergeCell ref="C14:D14"/>
    <mergeCell ref="C15:D15"/>
  </mergeCells>
  <conditionalFormatting sqref="E3:E9">
    <cfRule type="cellIs" dxfId="3" priority="1" operator="greaterThan">
      <formula>5</formula>
    </cfRule>
    <cfRule type="cellIs" dxfId="2" priority="3" operator="between">
      <formula>3.1</formula>
      <formula>5.9</formula>
    </cfRule>
    <cfRule type="cellIs" dxfId="1" priority="4" operator="greaterThan">
      <formula>5</formula>
    </cfRule>
    <cfRule type="cellIs" dxfId="0" priority="5" operator="between">
      <formula>1</formula>
      <formula>3</formula>
    </cfRule>
  </conditionalFormatting>
  <dataValidations count="1">
    <dataValidation type="list" allowBlank="1" showInputMessage="1" showErrorMessage="1" sqref="B10:B11" xr:uid="{3ED049BC-9F64-475A-B175-6D9478AFCD77}">
      <formula1>$A$4:$A$49</formula1>
    </dataValidation>
  </dataValidations>
  <pageMargins left="0.7" right="0.7" top="0.75" bottom="0.75" header="0.3" footer="0.3"/>
  <pageSetup paperSize="9" orientation="landscape" r:id="rId1"/>
  <headerFooter>
    <oddHeader>&amp;L&amp;"Gotham Rounded Book,Regular"FC-GL-EHS-MAN-0501-F3 (Tab Q) (Issue 7) - Risk Calculator</oddHeader>
  </headerFooter>
  <extLst>
    <ext xmlns:x14="http://schemas.microsoft.com/office/spreadsheetml/2009/9/main" uri="{CCE6A557-97BC-4b89-ADB6-D9C93CAAB3DF}">
      <x14:dataValidations xmlns:xm="http://schemas.microsoft.com/office/excel/2006/main" count="2">
        <x14:dataValidation type="list" allowBlank="1" showInputMessage="1" showErrorMessage="1" xr:uid="{AF348DF7-9EAC-4620-89AD-6C62658A460A}">
          <x14:formula1>
            <xm:f>Hazard_Defense_Code!$A$2:$A$54</xm:f>
          </x14:formula1>
          <xm:sqref>B7:B8</xm:sqref>
        </x14:dataValidation>
        <x14:dataValidation type="list" allowBlank="1" showInputMessage="1" showErrorMessage="1" xr:uid="{997B24FF-B4F4-4B45-A527-E106ABC82E95}">
          <x14:formula1>
            <xm:f>Hazard_Defense_Code!$A$2:$A$59</xm:f>
          </x14:formula1>
          <xm:sqref>B3:B6 B12:B15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362F4-ADE8-4DFF-9F7C-FE7168AA5F2D}">
  <sheetPr codeName="Sheet3"/>
  <dimension ref="A1:M13"/>
  <sheetViews>
    <sheetView workbookViewId="0">
      <selection activeCell="B3" sqref="B3:K10"/>
    </sheetView>
  </sheetViews>
  <sheetFormatPr defaultColWidth="0" defaultRowHeight="12.95" zeroHeight="1"/>
  <cols>
    <col min="1" max="13" width="8" style="32" customWidth="1"/>
    <col min="14" max="16384" width="8" style="32" hidden="1"/>
  </cols>
  <sheetData>
    <row r="1" spans="1:13">
      <c r="A1" s="33"/>
      <c r="B1" s="33"/>
      <c r="C1" s="33"/>
      <c r="D1" s="33"/>
      <c r="E1" s="33"/>
      <c r="F1" s="33"/>
      <c r="G1" s="33"/>
      <c r="H1" s="33"/>
      <c r="I1" s="33"/>
      <c r="J1" s="33"/>
      <c r="K1" s="33"/>
      <c r="L1" s="33"/>
      <c r="M1" s="33"/>
    </row>
    <row r="2" spans="1:13" ht="21" customHeight="1">
      <c r="A2" s="33"/>
      <c r="B2" s="34" t="s">
        <v>435</v>
      </c>
      <c r="C2" s="33"/>
      <c r="D2" s="33"/>
      <c r="E2" s="33"/>
      <c r="F2" s="33"/>
      <c r="G2" s="33"/>
      <c r="H2" s="33"/>
      <c r="I2" s="33"/>
      <c r="J2" s="33"/>
      <c r="K2" s="33"/>
      <c r="L2" s="33"/>
      <c r="M2" s="33"/>
    </row>
    <row r="3" spans="1:13" ht="12.75" customHeight="1">
      <c r="A3" s="33"/>
      <c r="B3" s="313" t="s">
        <v>436</v>
      </c>
      <c r="C3" s="313"/>
      <c r="D3" s="313"/>
      <c r="E3" s="313"/>
      <c r="F3" s="313"/>
      <c r="G3" s="313"/>
      <c r="H3" s="313"/>
      <c r="I3" s="313"/>
      <c r="J3" s="313"/>
      <c r="K3" s="313"/>
      <c r="L3" s="33"/>
      <c r="M3" s="33"/>
    </row>
    <row r="4" spans="1:13">
      <c r="A4" s="33"/>
      <c r="B4" s="313"/>
      <c r="C4" s="313"/>
      <c r="D4" s="313"/>
      <c r="E4" s="313"/>
      <c r="F4" s="313"/>
      <c r="G4" s="313"/>
      <c r="H4" s="313"/>
      <c r="I4" s="313"/>
      <c r="J4" s="313"/>
      <c r="K4" s="313"/>
      <c r="L4" s="33"/>
      <c r="M4" s="33"/>
    </row>
    <row r="5" spans="1:13">
      <c r="A5" s="33"/>
      <c r="B5" s="313"/>
      <c r="C5" s="313"/>
      <c r="D5" s="313"/>
      <c r="E5" s="313"/>
      <c r="F5" s="313"/>
      <c r="G5" s="313"/>
      <c r="H5" s="313"/>
      <c r="I5" s="313"/>
      <c r="J5" s="313"/>
      <c r="K5" s="313"/>
      <c r="L5" s="33"/>
      <c r="M5" s="33"/>
    </row>
    <row r="6" spans="1:13">
      <c r="A6" s="33"/>
      <c r="B6" s="313"/>
      <c r="C6" s="313"/>
      <c r="D6" s="313"/>
      <c r="E6" s="313"/>
      <c r="F6" s="313"/>
      <c r="G6" s="313"/>
      <c r="H6" s="313"/>
      <c r="I6" s="313"/>
      <c r="J6" s="313"/>
      <c r="K6" s="313"/>
      <c r="L6" s="33"/>
      <c r="M6" s="33"/>
    </row>
    <row r="7" spans="1:13">
      <c r="A7" s="33"/>
      <c r="B7" s="313"/>
      <c r="C7" s="313"/>
      <c r="D7" s="313"/>
      <c r="E7" s="313"/>
      <c r="F7" s="313"/>
      <c r="G7" s="313"/>
      <c r="H7" s="313"/>
      <c r="I7" s="313"/>
      <c r="J7" s="313"/>
      <c r="K7" s="313"/>
      <c r="L7" s="33"/>
      <c r="M7" s="33"/>
    </row>
    <row r="8" spans="1:13">
      <c r="A8" s="33"/>
      <c r="B8" s="313"/>
      <c r="C8" s="313"/>
      <c r="D8" s="313"/>
      <c r="E8" s="313"/>
      <c r="F8" s="313"/>
      <c r="G8" s="313"/>
      <c r="H8" s="313"/>
      <c r="I8" s="313"/>
      <c r="J8" s="313"/>
      <c r="K8" s="313"/>
      <c r="L8" s="33"/>
      <c r="M8" s="33"/>
    </row>
    <row r="9" spans="1:13">
      <c r="A9" s="33"/>
      <c r="B9" s="313"/>
      <c r="C9" s="313"/>
      <c r="D9" s="313"/>
      <c r="E9" s="313"/>
      <c r="F9" s="313"/>
      <c r="G9" s="313"/>
      <c r="H9" s="313"/>
      <c r="I9" s="313"/>
      <c r="J9" s="313"/>
      <c r="K9" s="313"/>
      <c r="L9" s="33"/>
      <c r="M9" s="33"/>
    </row>
    <row r="10" spans="1:13" ht="33" customHeight="1">
      <c r="A10" s="33"/>
      <c r="B10" s="313"/>
      <c r="C10" s="313"/>
      <c r="D10" s="313"/>
      <c r="E10" s="313"/>
      <c r="F10" s="313"/>
      <c r="G10" s="313"/>
      <c r="H10" s="313"/>
      <c r="I10" s="313"/>
      <c r="J10" s="313"/>
      <c r="K10" s="313"/>
      <c r="L10" s="33"/>
      <c r="M10" s="33"/>
    </row>
    <row r="11" spans="1:13">
      <c r="A11" s="33"/>
      <c r="B11" s="33"/>
      <c r="C11" s="33"/>
      <c r="D11" s="33"/>
      <c r="E11" s="33"/>
      <c r="F11" s="33"/>
      <c r="G11" s="33"/>
      <c r="H11" s="33"/>
      <c r="I11" s="33"/>
      <c r="J11" s="33"/>
      <c r="K11" s="33"/>
      <c r="L11" s="33"/>
      <c r="M11" s="33"/>
    </row>
    <row r="12" spans="1:13">
      <c r="A12" s="33"/>
      <c r="B12" s="33"/>
      <c r="C12" s="33"/>
      <c r="D12" s="33"/>
      <c r="E12" s="33"/>
      <c r="F12" s="33"/>
      <c r="G12" s="33"/>
      <c r="H12" s="33"/>
      <c r="I12" s="33"/>
      <c r="J12" s="33"/>
      <c r="K12" s="33"/>
      <c r="L12" s="33"/>
      <c r="M12" s="33"/>
    </row>
    <row r="13" spans="1:13">
      <c r="A13" s="33"/>
      <c r="B13" s="33"/>
      <c r="C13" s="33"/>
      <c r="D13" s="33"/>
      <c r="E13" s="33"/>
      <c r="F13" s="33"/>
      <c r="G13" s="33"/>
      <c r="H13" s="33"/>
      <c r="I13" s="33"/>
      <c r="J13" s="33"/>
      <c r="K13" s="33"/>
      <c r="L13" s="33"/>
      <c r="M13" s="33"/>
    </row>
  </sheetData>
  <mergeCells count="1">
    <mergeCell ref="B3:K10"/>
  </mergeCells>
  <pageMargins left="0.7" right="0.7" top="0.75" bottom="0.75" header="0.3" footer="0.3"/>
  <pageSetup paperSize="9" orientation="portrait" horizontalDpi="4294967292"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ABA2F64D6E2C740A2EFD32F6136F44B" ma:contentTypeVersion="31" ma:contentTypeDescription="Create a new document." ma:contentTypeScope="" ma:versionID="f6d5169442be2795745eeba6edf0f975">
  <xsd:schema xmlns:xsd="http://www.w3.org/2001/XMLSchema" xmlns:xs="http://www.w3.org/2001/XMLSchema" xmlns:p="http://schemas.microsoft.com/office/2006/metadata/properties" xmlns:ns2="25586fb6-ed09-4f2d-8ea7-eda1a9fd2320" xmlns:ns3="cc7fbaa3-8214-4644-99f1-d2e5a6ae9914" xmlns:ns4="f0c7a816-7a7e-42fb-b4dd-eafc20cb049d" targetNamespace="http://schemas.microsoft.com/office/2006/metadata/properties" ma:root="true" ma:fieldsID="1d6046f623722b44c576f527ef753e5d" ns2:_="" ns3:_="" ns4:_="">
    <xsd:import namespace="25586fb6-ed09-4f2d-8ea7-eda1a9fd2320"/>
    <xsd:import namespace="cc7fbaa3-8214-4644-99f1-d2e5a6ae9914"/>
    <xsd:import namespace="f0c7a816-7a7e-42fb-b4dd-eafc20cb049d"/>
    <xsd:element name="properties">
      <xsd:complexType>
        <xsd:sequence>
          <xsd:element name="documentManagement">
            <xsd:complexType>
              <xsd:all>
                <xsd:element ref="ns2:Process_x0020_Owmer"/>
                <xsd:element ref="ns2:Functional_x0020_Owner"/>
                <xsd:element ref="ns3:LastReviewDate" minOccurs="0"/>
                <xsd:element ref="ns2:Nomenclature" minOccurs="0"/>
                <xsd:element ref="ns3:RevisionNumber" minOccurs="0"/>
                <xsd:element ref="ns2:MediaServiceMetadata" minOccurs="0"/>
                <xsd:element ref="ns2:MediaServiceFastMetadata" minOccurs="0"/>
                <xsd:element ref="ns3:MediaServiceAutoKeyPoints" minOccurs="0"/>
                <xsd:element ref="ns3:MediaServiceKeyPoints" minOccurs="0"/>
                <xsd:element ref="ns4:SharedWithUsers" minOccurs="0"/>
                <xsd:element ref="ns4:SharedWithDetails" minOccurs="0"/>
                <xsd:element ref="ns3:MediaServiceDateTaken"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86fb6-ed09-4f2d-8ea7-eda1a9fd2320" elementFormDefault="qualified">
    <xsd:import namespace="http://schemas.microsoft.com/office/2006/documentManagement/types"/>
    <xsd:import namespace="http://schemas.microsoft.com/office/infopath/2007/PartnerControls"/>
    <xsd:element name="Process_x0020_Owmer" ma:index="1" ma:displayName="Have a question? Email the Process Owner" ma:description="Discuss Audit Findings and QWI Updates with the Responsible Person" ma:list="UserInfo" ma:SharePointGroup="0" ma:internalName="Process_x0020_Owmer" ma:readOnly="false" ma:showField="NameWithPictureAndDetails">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Functional_x0020_Owner" ma:index="2" ma:displayName="Function" ma:default="Management Processes - Leadership and Commitment" ma:description="Management Processes - Leadership and Commitment" ma:format="Dropdown" ma:internalName="Functional_x0020_Owner" ma:readOnly="false">
      <xsd:simpleType>
        <xsd:restriction base="dms:Text">
          <xsd:maxLength value="255"/>
        </xsd:restriction>
      </xsd:simpleType>
    </xsd:element>
    <xsd:element name="Nomenclature" ma:index="4" nillable="true" ma:displayName="Document Number" ma:format="Dropdown" ma:internalName="Nomenclature"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c7fbaa3-8214-4644-99f1-d2e5a6ae9914" elementFormDefault="qualified">
    <xsd:import namespace="http://schemas.microsoft.com/office/2006/documentManagement/types"/>
    <xsd:import namespace="http://schemas.microsoft.com/office/infopath/2007/PartnerControls"/>
    <xsd:element name="LastReviewDate" ma:index="3" nillable="true" ma:displayName="Last Review Date" ma:description="The date the procedure was last reviewed or revised" ma:format="DateOnly" ma:internalName="LastReviewDate" ma:readOnly="false">
      <xsd:simpleType>
        <xsd:restriction base="dms:DateTime"/>
      </xsd:simpleType>
    </xsd:element>
    <xsd:element name="RevisionNumber" ma:index="5" nillable="true" ma:displayName="Revision Number" ma:decimals="1" ma:description="The current revision published" ma:format="Dropdown" ma:internalName="RevisionNumber" ma:readOnly="false" ma:percentage="FALSE">
      <xsd:simpleType>
        <xsd:restriction base="dms:Number"/>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hidden="true" ma:internalName="MediaServiceKeyPoints" ma:readOnly="true">
      <xsd:simpleType>
        <xsd:restriction base="dms:Note"/>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0c7a816-7a7e-42fb-b4dd-eafc20cb049d" elementFormDefault="qualified">
    <xsd:import namespace="http://schemas.microsoft.com/office/2006/documentManagement/types"/>
    <xsd:import namespace="http://schemas.microsoft.com/office/infopath/2007/PartnerControls"/>
    <xsd:element name="SharedWithUsers" ma:index="15"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hidden="true" ma:internalName="SharedWithDetail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displayName="QMS Lev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astReviewDate xmlns="cc7fbaa3-8214-4644-99f1-d2e5a6ae9914" xsi:nil="true"/>
    <RevisionNumber xmlns="cc7fbaa3-8214-4644-99f1-d2e5a6ae9914" xsi:nil="true"/>
    <Process_x0020_Owmer xmlns="25586fb6-ed09-4f2d-8ea7-eda1a9fd2320">
      <UserInfo>
        <DisplayName>Cahill, James (GE Vernova)</DisplayName>
        <AccountId>50409</AccountId>
        <AccountType/>
      </UserInfo>
    </Process_x0020_Owmer>
    <Functional_x0020_Owner xmlns="25586fb6-ed09-4f2d-8ea7-eda1a9fd2320">Management Processes - Leadership and Commitment</Functional_x0020_Owner>
    <Nomenclature xmlns="25586fb6-ed09-4f2d-8ea7-eda1a9fd2320">FC-GL-EHS-MAN-0501-F3 (Tab Q)</Nomenclature>
  </documentManagement>
</p:properties>
</file>

<file path=customXml/itemProps1.xml><?xml version="1.0" encoding="utf-8"?>
<ds:datastoreItem xmlns:ds="http://schemas.openxmlformats.org/officeDocument/2006/customXml" ds:itemID="{2B66999E-ED84-4F78-8643-952447B5253F}"/>
</file>

<file path=customXml/itemProps2.xml><?xml version="1.0" encoding="utf-8"?>
<ds:datastoreItem xmlns:ds="http://schemas.openxmlformats.org/officeDocument/2006/customXml" ds:itemID="{4022BBDB-EB09-45B7-A8C1-0E0DB66F872B}"/>
</file>

<file path=customXml/itemProps3.xml><?xml version="1.0" encoding="utf-8"?>
<ds:datastoreItem xmlns:ds="http://schemas.openxmlformats.org/officeDocument/2006/customXml" ds:itemID="{86271DE6-31CE-47D3-8071-B8F76D800255}"/>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Mohamed.Naser1@gevernova.com</dc:creator>
  <cp:keywords/>
  <dc:description/>
  <cp:lastModifiedBy>Cahill, James (GE Vernova)</cp:lastModifiedBy>
  <cp:revision/>
  <dcterms:created xsi:type="dcterms:W3CDTF">2020-02-07T11:44:21Z</dcterms:created>
  <dcterms:modified xsi:type="dcterms:W3CDTF">2026-05-26T08:12:24Z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0x010100AABA2F64D6E2C740A2EFD32F6136F44B</vt:lpwstr>
  </property>
</Properties>
</file>