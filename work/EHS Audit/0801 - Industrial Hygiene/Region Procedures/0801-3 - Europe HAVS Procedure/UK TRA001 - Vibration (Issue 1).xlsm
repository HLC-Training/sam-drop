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3927\Box Sync\AAA Working Laptop\Management System\In Progress\UK HAVS\"/>
    </mc:Choice>
  </mc:AlternateContent>
  <xr:revisionPtr revIDLastSave="0" documentId="13_ncr:1_{867A5CC0-D588-445F-83C0-829274A892B9}"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s>
  <externalReferences>
    <externalReference r:id="rId7"/>
    <externalReference r:id="rId8"/>
  </externalReferences>
  <definedNames>
    <definedName name="_xlnm._FilterDatabase" localSheetId="5" hidden="1">Hazard_Defense_Code!$A$1:$F$36</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TRA_English!$A$1:$R$33</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4" i="1" l="1"/>
  <c r="K24" i="1"/>
  <c r="Q22" i="1"/>
  <c r="K22" i="1"/>
  <c r="K25" i="1"/>
  <c r="Q25" i="1"/>
  <c r="D13" i="6" l="1"/>
  <c r="D17" i="6" l="1"/>
  <c r="D21" i="6" l="1"/>
  <c r="Q23" i="1" l="1"/>
  <c r="Q26" i="1"/>
  <c r="Q27" i="1"/>
  <c r="Q28" i="1"/>
  <c r="K23" i="1"/>
  <c r="K26" i="1"/>
  <c r="K27" i="1"/>
  <c r="K28" i="1"/>
  <c r="C15" i="3" l="1"/>
  <c r="C14" i="3"/>
  <c r="C13" i="3"/>
  <c r="C12" i="3"/>
  <c r="D6" i="3"/>
  <c r="D5" i="3"/>
  <c r="D4" i="3"/>
  <c r="D3" i="3"/>
  <c r="C6" i="3"/>
  <c r="C5" i="3"/>
  <c r="C4" i="3"/>
  <c r="C3" i="3"/>
  <c r="D2" i="6" l="1"/>
  <c r="D3" i="6"/>
  <c r="D4" i="6"/>
  <c r="D5" i="6"/>
  <c r="D6" i="6"/>
  <c r="D7" i="6"/>
  <c r="D8" i="6"/>
  <c r="D9" i="6"/>
  <c r="D10" i="6"/>
  <c r="D11" i="6"/>
  <c r="D12" i="6"/>
  <c r="D14" i="6"/>
  <c r="D15" i="6"/>
  <c r="D16" i="6"/>
  <c r="D18" i="6"/>
  <c r="D19" i="6"/>
  <c r="D20" i="6"/>
  <c r="E6" i="3" l="1"/>
  <c r="C7" i="3"/>
  <c r="D8" i="3"/>
  <c r="E5" i="3"/>
  <c r="E3" i="3"/>
  <c r="C8" i="3"/>
  <c r="D7" i="3"/>
  <c r="E4" i="3"/>
  <c r="D9" i="3" l="1"/>
  <c r="E8" i="3"/>
  <c r="C9" i="3"/>
  <c r="E7" i="3"/>
  <c r="E9" i="3" l="1"/>
</calcChain>
</file>

<file path=xl/sharedStrings.xml><?xml version="1.0" encoding="utf-8"?>
<sst xmlns="http://schemas.openxmlformats.org/spreadsheetml/2006/main" count="300" uniqueCount="252">
  <si>
    <t>TITLE:</t>
  </si>
  <si>
    <t>DOCUMENT NUMBER: FC-GL-EHS-MAN-0501-F3</t>
  </si>
  <si>
    <t>TASK RISK ASSESSMENT</t>
  </si>
  <si>
    <t>REGION:
GLOBAL</t>
  </si>
  <si>
    <t>ISSUE:
4.1</t>
  </si>
  <si>
    <t>DATE:
30-April-2020</t>
  </si>
  <si>
    <t>PAGE
1 of 1</t>
  </si>
  <si>
    <t>WORK ACTIVITY:</t>
  </si>
  <si>
    <t>REFERENCE NUMBER (Reference Procedure)</t>
  </si>
  <si>
    <t>TRA Issue</t>
  </si>
  <si>
    <t>Date:</t>
  </si>
  <si>
    <t>Using a Vibrating Tool: Grinders etc</t>
  </si>
  <si>
    <t>UK TRA001 - Vibration (inc Health elements)</t>
  </si>
  <si>
    <r>
      <t>PERSONNEL IMPACTED (</t>
    </r>
    <r>
      <rPr>
        <sz val="8"/>
        <color theme="1"/>
        <rFont val="Calibri"/>
        <family val="2"/>
        <scheme val="minor"/>
      </rPr>
      <t>Tick all applicable)</t>
    </r>
  </si>
  <si>
    <t>Severity</t>
  </si>
  <si>
    <t>Frequency</t>
  </si>
  <si>
    <t>SEVERITY</t>
  </si>
  <si>
    <t>Risk Rating</t>
  </si>
  <si>
    <t>Strategy</t>
  </si>
  <si>
    <t>FREQUENCY</t>
  </si>
  <si>
    <t>S1</t>
  </si>
  <si>
    <t>S2</t>
  </si>
  <si>
    <t>S3</t>
  </si>
  <si>
    <t>S4</t>
  </si>
  <si>
    <t>S5</t>
  </si>
  <si>
    <t>High</t>
  </si>
  <si>
    <t>Intervention - (Critical Step)
PPE cannot be assigned as a Primary Défense</t>
  </si>
  <si>
    <t>Major</t>
  </si>
  <si>
    <t>F5</t>
  </si>
  <si>
    <t>Monthly</t>
  </si>
  <si>
    <t>Severe</t>
  </si>
  <si>
    <t>F4</t>
  </si>
  <si>
    <t>Quarterly</t>
  </si>
  <si>
    <t>Medium</t>
  </si>
  <si>
    <t xml:space="preserve">Control
Do not proceed - additional defences required
</t>
  </si>
  <si>
    <t>Significant</t>
  </si>
  <si>
    <t>F3</t>
  </si>
  <si>
    <t>Annually</t>
  </si>
  <si>
    <t>Moderate</t>
  </si>
  <si>
    <t>F2</t>
  </si>
  <si>
    <t>Bi-Annually</t>
  </si>
  <si>
    <t>Low</t>
  </si>
  <si>
    <t>Monitor
Maintain Defences</t>
  </si>
  <si>
    <t>Minor</t>
  </si>
  <si>
    <t>F1</t>
  </si>
  <si>
    <t>&gt; two years</t>
  </si>
  <si>
    <t>*Risk = (Severity + Frequency) -1</t>
  </si>
  <si>
    <t>TASK STEPS</t>
  </si>
  <si>
    <t>POTENTIAL RISK (PR)</t>
  </si>
  <si>
    <t>DEFENCES</t>
  </si>
  <si>
    <t>CONTROLLED RISK (CR)</t>
  </si>
  <si>
    <t>HAZARDS:</t>
  </si>
  <si>
    <t>S</t>
  </si>
  <si>
    <t>F</t>
  </si>
  <si>
    <t>PR*</t>
  </si>
  <si>
    <t>CR*</t>
  </si>
  <si>
    <t>COMMENTS:</t>
  </si>
  <si>
    <r>
      <rPr>
        <b/>
        <sz val="7"/>
        <color theme="1"/>
        <rFont val="Calibri"/>
        <family val="2"/>
        <scheme val="minor"/>
      </rPr>
      <t>Before Work</t>
    </r>
    <r>
      <rPr>
        <sz val="7"/>
        <color theme="1"/>
        <rFont val="Calibri"/>
        <family val="2"/>
        <scheme val="minor"/>
      </rPr>
      <t xml:space="preserve"> Engineered Defence - Eliminated (Subtitute)</t>
    </r>
  </si>
  <si>
    <t>Health Risk (Chronic) HAVs</t>
  </si>
  <si>
    <t>Low Vibration Tool, Equipment Selection , Low Vibration Purchasing Policy</t>
  </si>
  <si>
    <r>
      <rPr>
        <b/>
        <sz val="7"/>
        <color theme="1"/>
        <rFont val="Calibri"/>
        <family val="2"/>
        <scheme val="minor"/>
      </rPr>
      <t>Select the lowest vibration</t>
    </r>
    <r>
      <rPr>
        <sz val="7"/>
        <color theme="1"/>
        <rFont val="Calibri"/>
        <family val="2"/>
        <scheme val="minor"/>
      </rPr>
      <t xml:space="preserve"> tool that is suitable and can do the work efficiently</t>
    </r>
  </si>
  <si>
    <t xml:space="preserve">Low Vibration Purchasing Policy, Tool Tagging </t>
  </si>
  <si>
    <r>
      <t xml:space="preserve">• Tools purchasing process to include request for Trigger times/Vibration Data, </t>
    </r>
    <r>
      <rPr>
        <b/>
        <sz val="7"/>
        <color theme="1"/>
        <rFont val="Calibri"/>
        <family val="2"/>
        <scheme val="minor"/>
      </rPr>
      <t>chose less vibrating and quieter tools</t>
    </r>
    <r>
      <rPr>
        <sz val="7"/>
        <color theme="1"/>
        <rFont val="Calibri"/>
        <family val="2"/>
        <scheme val="minor"/>
      </rPr>
      <t xml:space="preserve">
• </t>
    </r>
    <r>
      <rPr>
        <b/>
        <sz val="7"/>
        <color theme="1"/>
        <rFont val="Calibri"/>
        <family val="2"/>
        <scheme val="minor"/>
      </rPr>
      <t>Introduce appropriate maintenance programmes</t>
    </r>
    <r>
      <rPr>
        <sz val="7"/>
        <color theme="1"/>
        <rFont val="Calibri"/>
        <family val="2"/>
        <scheme val="minor"/>
      </rPr>
      <t xml:space="preserve"> for equipment to prevent avoidable increases in vibration</t>
    </r>
  </si>
  <si>
    <r>
      <rPr>
        <b/>
        <sz val="7"/>
        <color theme="1"/>
        <rFont val="Calibri"/>
        <family val="2"/>
        <scheme val="minor"/>
      </rPr>
      <t>Before Wor</t>
    </r>
    <r>
      <rPr>
        <sz val="7"/>
        <color theme="1"/>
        <rFont val="Calibri"/>
        <family val="2"/>
        <scheme val="minor"/>
      </rPr>
      <t>k Engineered Defence - detect</t>
    </r>
  </si>
  <si>
    <t>Health Surveillance , Maintainance , Preventative Maintenance</t>
  </si>
  <si>
    <r>
      <rPr>
        <b/>
        <sz val="7"/>
        <color theme="1"/>
        <rFont val="Calibri"/>
        <family val="2"/>
        <scheme val="minor"/>
      </rPr>
      <t>Introduce appropriate maintenance programmes</t>
    </r>
    <r>
      <rPr>
        <sz val="7"/>
        <color theme="1"/>
        <rFont val="Calibri"/>
        <family val="2"/>
        <scheme val="minor"/>
      </rPr>
      <t xml:space="preserve"> for your equipment to prevent avoidable increases in vibration</t>
    </r>
  </si>
  <si>
    <r>
      <rPr>
        <b/>
        <sz val="7"/>
        <color theme="1"/>
        <rFont val="Calibri"/>
        <family val="2"/>
        <scheme val="minor"/>
      </rPr>
      <t>Before Work</t>
    </r>
    <r>
      <rPr>
        <sz val="7"/>
        <color theme="1"/>
        <rFont val="Calibri"/>
        <family val="2"/>
        <scheme val="minor"/>
      </rPr>
      <t xml:space="preserve"> Admin Defence </t>
    </r>
  </si>
  <si>
    <t>POWGA, Vibration Management, Wearable Sensor</t>
  </si>
  <si>
    <r>
      <rPr>
        <b/>
        <sz val="7"/>
        <color theme="1"/>
        <rFont val="Calibri"/>
        <family val="2"/>
        <scheme val="minor"/>
      </rPr>
      <t xml:space="preserve">Conduct assessment to determine risks </t>
    </r>
    <r>
      <rPr>
        <sz val="7"/>
        <color theme="1"/>
        <rFont val="Calibri"/>
        <family val="2"/>
        <scheme val="minor"/>
      </rPr>
      <t>from vibration</t>
    </r>
  </si>
  <si>
    <t xml:space="preserve">Health Surveillance </t>
  </si>
  <si>
    <r>
      <t xml:space="preserve">• Implement a suitable </t>
    </r>
    <r>
      <rPr>
        <b/>
        <sz val="7"/>
        <color theme="1"/>
        <rFont val="Calibri"/>
        <family val="2"/>
        <scheme val="minor"/>
      </rPr>
      <t>health surveillance progra</t>
    </r>
    <r>
      <rPr>
        <sz val="7"/>
        <color theme="1"/>
        <rFont val="Calibri"/>
        <family val="2"/>
        <scheme val="minor"/>
      </rPr>
      <t xml:space="preserve">m for affected employees 
• </t>
    </r>
    <r>
      <rPr>
        <b/>
        <sz val="7"/>
        <color theme="1"/>
        <rFont val="Calibri"/>
        <family val="2"/>
        <scheme val="minor"/>
      </rPr>
      <t xml:space="preserve">Health Surveillance results </t>
    </r>
    <r>
      <rPr>
        <sz val="7"/>
        <color theme="1"/>
        <rFont val="Calibri"/>
        <family val="2"/>
        <scheme val="minor"/>
      </rPr>
      <t xml:space="preserve"> discuss with the health service and FC Occupational Health Manager 
• </t>
    </r>
    <r>
      <rPr>
        <b/>
        <sz val="7"/>
        <color theme="1"/>
        <rFont val="Calibri"/>
        <family val="2"/>
        <scheme val="minor"/>
      </rPr>
      <t>IF adverse Health outcomes found</t>
    </r>
    <r>
      <rPr>
        <sz val="7"/>
        <color theme="1"/>
        <rFont val="Calibri"/>
        <family val="2"/>
        <scheme val="minor"/>
      </rPr>
      <t xml:space="preserve"> to enable review of Control strategy effectiveness.</t>
    </r>
  </si>
  <si>
    <r>
      <rPr>
        <b/>
        <sz val="7"/>
        <color theme="1"/>
        <rFont val="Calibri"/>
        <family val="2"/>
        <scheme val="minor"/>
      </rPr>
      <t>Planning</t>
    </r>
    <r>
      <rPr>
        <sz val="7"/>
        <color theme="1"/>
        <rFont val="Calibri"/>
        <family val="2"/>
        <scheme val="minor"/>
      </rPr>
      <t xml:space="preserve"> Admin Defence </t>
    </r>
  </si>
  <si>
    <t>Work Scheduals , Time Limitation / Freq Breaks, Job Rotation</t>
  </si>
  <si>
    <r>
      <t xml:space="preserve">• </t>
    </r>
    <r>
      <rPr>
        <b/>
        <sz val="7"/>
        <color theme="1"/>
        <rFont val="Calibri"/>
        <family val="2"/>
        <scheme val="minor"/>
      </rPr>
      <t>Limit the time that workers  are exp</t>
    </r>
    <r>
      <rPr>
        <sz val="7"/>
        <color theme="1"/>
        <rFont val="Calibri"/>
        <family val="2"/>
        <scheme val="minor"/>
      </rPr>
      <t>osed to vibration.  
•</t>
    </r>
    <r>
      <rPr>
        <b/>
        <sz val="7"/>
        <color theme="1"/>
        <rFont val="Calibri"/>
        <family val="2"/>
        <scheme val="minor"/>
      </rPr>
      <t xml:space="preserve"> Plan work</t>
    </r>
    <r>
      <rPr>
        <sz val="7"/>
        <color theme="1"/>
        <rFont val="Calibri"/>
        <family val="2"/>
        <scheme val="minor"/>
      </rPr>
      <t xml:space="preserve"> to avoid individuals being exposed to vibration for long, continuous periods 
• Where tools require continual or frequent use, introduce employee rotas i.e. </t>
    </r>
    <r>
      <rPr>
        <b/>
        <sz val="7"/>
        <color theme="1"/>
        <rFont val="Calibri"/>
        <family val="2"/>
        <scheme val="minor"/>
      </rPr>
      <t xml:space="preserve">Use Job rotation to limit exposure times </t>
    </r>
  </si>
  <si>
    <t>Vibration Management, Training/Competency</t>
  </si>
  <si>
    <r>
      <rPr>
        <b/>
        <sz val="7"/>
        <color theme="1"/>
        <rFont val="Calibri"/>
        <family val="2"/>
        <scheme val="minor"/>
      </rPr>
      <t>Provide employees with suitable &amp; adequate training &amp; awareness</t>
    </r>
    <r>
      <rPr>
        <sz val="7"/>
        <color theme="1"/>
        <rFont val="Calibri"/>
        <family val="2"/>
        <scheme val="minor"/>
      </rPr>
      <t xml:space="preserve"> on hazards related to  vibration  &amp; HAV’s.</t>
    </r>
  </si>
  <si>
    <t xml:space="preserve">Using the Equipment - Admin Defence </t>
  </si>
  <si>
    <t>Vibration Management, Personal Vibration Logging (Books)</t>
  </si>
  <si>
    <r>
      <t xml:space="preserve">• </t>
    </r>
    <r>
      <rPr>
        <b/>
        <sz val="7"/>
        <rFont val="Calibri"/>
        <family val="2"/>
        <scheme val="minor"/>
      </rPr>
      <t>Record exposure time  vibration exposur</t>
    </r>
    <r>
      <rPr>
        <sz val="7"/>
        <rFont val="Calibri"/>
        <family val="2"/>
        <scheme val="minor"/>
      </rPr>
      <t xml:space="preserve">e (ie tool useage, trigger time) Record within booklet or via Reactec digital monitoring equipment (or similar system).  Plan to limit tooling  use before 5m/s2 (400 points)
• </t>
    </r>
    <r>
      <rPr>
        <b/>
        <sz val="7"/>
        <rFont val="Calibri"/>
        <family val="2"/>
        <scheme val="minor"/>
      </rPr>
      <t xml:space="preserve">Report  to managers, supervisors, any vibration problems </t>
    </r>
    <r>
      <rPr>
        <sz val="7"/>
        <rFont val="Calibri"/>
        <family val="2"/>
        <scheme val="minor"/>
      </rPr>
      <t xml:space="preserve">with the equipment or the way it is being used e.g. increased or unusual Vibration indicating and issue.. 
</t>
    </r>
    <r>
      <rPr>
        <b/>
        <sz val="7"/>
        <rFont val="Calibri"/>
        <family val="2"/>
        <scheme val="minor"/>
      </rPr>
      <t xml:space="preserve">• IF issues detected quarantine defective tools  </t>
    </r>
  </si>
  <si>
    <r>
      <rPr>
        <b/>
        <sz val="7"/>
        <color theme="1"/>
        <rFont val="Calibri"/>
        <family val="2"/>
        <scheme val="minor"/>
      </rPr>
      <t>Using the Equipment</t>
    </r>
    <r>
      <rPr>
        <sz val="7"/>
        <color theme="1"/>
        <rFont val="Calibri"/>
        <family val="2"/>
        <scheme val="minor"/>
      </rPr>
      <t xml:space="preserve"> - Cultural Defence  </t>
    </r>
  </si>
  <si>
    <t>Stop Work, Concern Report</t>
  </si>
  <si>
    <t xml:space="preserve">DO NOT USE tools that are displaying unusal/higher vibration. Quarintine these tools.
</t>
  </si>
  <si>
    <r>
      <rPr>
        <b/>
        <sz val="7"/>
        <color theme="9"/>
        <rFont val="Calibri"/>
        <family val="2"/>
        <scheme val="minor"/>
      </rPr>
      <t xml:space="preserve">Using the Equipment -  </t>
    </r>
    <r>
      <rPr>
        <sz val="7"/>
        <color theme="1"/>
        <rFont val="Calibri"/>
        <family val="2"/>
        <scheme val="minor"/>
      </rPr>
      <t xml:space="preserve"> </t>
    </r>
    <r>
      <rPr>
        <b/>
        <sz val="7"/>
        <color theme="1"/>
        <rFont val="Calibri"/>
        <family val="2"/>
        <scheme val="minor"/>
      </rPr>
      <t>Control of Health Hazards</t>
    </r>
    <r>
      <rPr>
        <sz val="7"/>
        <color theme="1"/>
        <rFont val="Calibri"/>
        <family val="2"/>
        <scheme val="minor"/>
      </rPr>
      <t xml:space="preserve"> Risk (Industrial Hygiene)</t>
    </r>
  </si>
  <si>
    <t>Awkward Posture/Ergonomics, Dust, Light, UV Radiation, Noise, Vibration</t>
  </si>
  <si>
    <t>Ergo Assessment, Physical Fitness Program, RPE-Respirator, LEV, Approach/Restriction Boundaries, Ear Defenders, Vibration Management, Wearable sensor</t>
  </si>
  <si>
    <r>
      <t xml:space="preserve">• </t>
    </r>
    <r>
      <rPr>
        <b/>
        <sz val="7"/>
        <rFont val="Calibri"/>
        <family val="2"/>
        <scheme val="minor"/>
      </rPr>
      <t>Ergonomics</t>
    </r>
    <r>
      <rPr>
        <sz val="7"/>
        <rFont val="Calibri"/>
        <family val="2"/>
        <scheme val="minor"/>
      </rPr>
      <t xml:space="preserve">
o Ensure that the Grinder side handle / multi-position handle and workspace can be set-up to minimise awkward body posture/position and offers good control duration of the work.  
o If Kneeling wear knee pads or floor pads take short breaks after being in one position for a while. 
• </t>
    </r>
    <r>
      <rPr>
        <b/>
        <sz val="7"/>
        <rFont val="Calibri"/>
        <family val="2"/>
        <scheme val="minor"/>
      </rPr>
      <t>Dust &amp; Particulate</t>
    </r>
    <r>
      <rPr>
        <sz val="7"/>
        <rFont val="Calibri"/>
        <family val="2"/>
        <scheme val="minor"/>
      </rPr>
      <t xml:space="preserve">
o Allow adequate natural ventilation i.e. open windows &amp; doors and/or use forced ventilation (LEV) or extraction fans should be in place as required to control dust/particulate. FFP3 Respirator should be worn during grinding operations. 
o Air fed RPE incorporating head protection for permanent grinders, Dust &amp; Particulate or equivelent.  Good housekeeping standards, Ensure that all used disks, debris and dust/grit are disposed of through the clients waste streams and the area is left clean and tidy condition
•</t>
    </r>
    <r>
      <rPr>
        <b/>
        <sz val="7"/>
        <rFont val="Calibri"/>
        <family val="2"/>
        <scheme val="minor"/>
      </rPr>
      <t xml:space="preserve"> Light &amp; UV</t>
    </r>
    <r>
      <rPr>
        <sz val="7"/>
        <rFont val="Calibri"/>
        <family val="2"/>
        <scheme val="minor"/>
      </rPr>
      <t xml:space="preserve"> 
o Be aware of other workers nearby, especially welding, ensure that blankets are in place to shield from Light/UV hazard including from reflective surfaces.
• </t>
    </r>
    <r>
      <rPr>
        <b/>
        <sz val="7"/>
        <rFont val="Calibri"/>
        <family val="2"/>
        <scheme val="minor"/>
      </rPr>
      <t>Noise</t>
    </r>
    <r>
      <rPr>
        <sz val="7"/>
        <rFont val="Calibri"/>
        <family val="2"/>
        <scheme val="minor"/>
      </rPr>
      <t xml:space="preserve">
o Correctly rated ear defenders/ear plugs should be worn, by all affected persons, during grinding operations (typical noise levels ~90-105dB(A). 
•</t>
    </r>
    <r>
      <rPr>
        <b/>
        <sz val="7"/>
        <rFont val="Calibri"/>
        <family val="2"/>
        <scheme val="minor"/>
      </rPr>
      <t xml:space="preserve"> Vibration</t>
    </r>
    <r>
      <rPr>
        <sz val="7"/>
        <rFont val="Calibri"/>
        <family val="2"/>
        <scheme val="minor"/>
      </rPr>
      <t xml:space="preserve">
o Relaxed grip do not use excessive force. 
o Keep hands warm and exercise fingers regularly.  (Wear insulated gloves in cold and or wet weather)
o Abnormal vibration to be reported by user to Supervisor/Storeman.  
o Select correct e.g. tool &amp; attachment for the task.  Take regular breaks. Job rotation to limit exposure time. 
o Record trigger time usage in book/or wear wearable sensor
o Do Not exceed 5m/s2 or 400 point daily over all tools use 
o Report unintended Overexposure (&gt; 5m/s2 or 400 point daily) to supervisor.  Supervisor to contact Regional EHS so that it can be entered into Gensuite and investigated throughtouly.</t>
    </r>
  </si>
  <si>
    <t>EQUIPMENT /MATERIAL / PPE &amp; RPE REQUIRED</t>
  </si>
  <si>
    <t>Welding, Heat &amp; Cut Resistant Glove - Ejendals Tegera 134 Gauntlets (Level C EN388:2016 or A3 Cut ANSI105:2016), Cut Resistant Sleeve for full arm protection  - Skytec Kopter Sleeve (Level D (EN388:0216).  Risk based PPE, (Safety Goggles + Face Visor ), Safety Boots, , Ear Defenders/ear plugs (Double hearing protection, ie plugs and muffs, if sound level is &gt; 105dB), FFP3/EN149 Respirator Type FFP3 or  Dust 7 Particulate - JSP PowerCap Active IP for full time grinders, FR coveralls.  Fire Extinguisher and spark control blankets. Light/UV Shielding if working near welders.  Barriers to control access to the area if a sentry (fire attendant needed is not in place).  GFCI or RCD protection device for electric grinder.</t>
  </si>
  <si>
    <t>ASSESSED BY:</t>
  </si>
  <si>
    <t>SIGNATURE:</t>
  </si>
  <si>
    <t>Ross Conway &amp; UK EHS</t>
  </si>
  <si>
    <t>PRINT NAME:</t>
  </si>
  <si>
    <t>DATE: 15th October 2020</t>
  </si>
  <si>
    <t>REVIEWED &amp; APPROVED BY</t>
  </si>
  <si>
    <t>Ross Conway</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</si>
  <si>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</si>
  <si>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</si>
  <si>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</si>
  <si>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</si>
  <si>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</si>
  <si>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</si>
  <si>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</si>
  <si>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</si>
  <si>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</si>
  <si>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</si>
  <si>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</si>
  <si>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</si>
  <si>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</si>
  <si>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</si>
  <si>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</si>
  <si>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</si>
  <si>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                                           Accept Risk </t>
    </r>
    <r>
      <rPr>
        <sz val="11"/>
        <rFont val="Calibri"/>
        <family val="2"/>
        <scheme val="minor"/>
      </rPr>
      <t xml:space="preserve">                                                      Manage and maintain defenses and procedures</t>
    </r>
  </si>
  <si>
    <r>
      <rPr>
        <b/>
        <sz val="11"/>
        <color theme="1"/>
        <rFont val="Calibri"/>
        <family val="2"/>
        <scheme val="minor"/>
      </rPr>
      <t xml:space="preserve">                                           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</si>
  <si>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</si>
  <si>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</si>
  <si>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</si>
  <si>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 xml:space="preserve">                                    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</si>
  <si>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</si>
  <si>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</si>
  <si>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</si>
  <si>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</si>
  <si>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                                HQ Action Required       </t>
    </r>
    <r>
      <rPr>
        <sz val="11"/>
        <rFont val="Calibri"/>
        <family val="2"/>
        <scheme val="minor"/>
      </rPr>
      <t xml:space="preserve">                                        Bow-tie analysis required and 3 month action plan developed to reduce risk level.  Input to Strategic Blueprint review</t>
    </r>
  </si>
  <si>
    <r>
      <rPr>
        <b/>
        <sz val="11"/>
        <color theme="1"/>
        <rFont val="Calibri"/>
        <family val="2"/>
        <scheme val="minor"/>
      </rPr>
      <t xml:space="preserve">                                          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</si>
  <si>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</si>
  <si>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</si>
  <si>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</si>
  <si>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</si>
  <si>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</si>
  <si>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</si>
  <si>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</si>
  <si>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</si>
  <si>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</si>
  <si>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</si>
  <si>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</si>
  <si>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</si>
  <si>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</si>
  <si>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</si>
  <si>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</si>
  <si>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</si>
  <si>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</si>
  <si>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</si>
  <si>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</si>
  <si>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</si>
  <si>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</si>
  <si>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</si>
  <si>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</si>
  <si>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</si>
  <si>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</si>
  <si>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</si>
  <si>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</si>
  <si>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majoir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</si>
  <si>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</si>
  <si>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</si>
  <si>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</si>
  <si>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</si>
  <si>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</si>
  <si>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</si>
  <si>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</si>
  <si>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</si>
  <si>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</si>
  <si>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</si>
  <si>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</si>
  <si>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</si>
  <si>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</si>
  <si>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</si>
  <si>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</si>
  <si>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</si>
  <si>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</si>
  <si>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</si>
  <si>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</si>
  <si>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</si>
  <si>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</si>
  <si>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</si>
  <si>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</si>
  <si>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</si>
  <si>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</si>
  <si>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</si>
  <si>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Manual Handling</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</si>
  <si>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</si>
  <si>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</si>
  <si>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</si>
  <si>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</si>
  <si>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</si>
  <si>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</si>
  <si>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</si>
  <si>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</si>
  <si>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</si>
  <si>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Operations</t>
  </si>
  <si>
    <t>Awkward Posture/Ergonomics</t>
  </si>
  <si>
    <t>Burst Disc</t>
  </si>
  <si>
    <t>Contact with wheel</t>
  </si>
  <si>
    <t>Disc Lock (Pinch Point)</t>
  </si>
  <si>
    <t>Dust</t>
  </si>
  <si>
    <t>Electricity</t>
  </si>
  <si>
    <t>Entanglement</t>
  </si>
  <si>
    <t>Fire</t>
  </si>
  <si>
    <t>Flammable Gases</t>
  </si>
  <si>
    <t>UV Radiation</t>
  </si>
  <si>
    <t>Hot Surfaces</t>
  </si>
  <si>
    <t>Noise</t>
  </si>
  <si>
    <t>Light</t>
  </si>
  <si>
    <t>Projectiles</t>
  </si>
  <si>
    <t>Uncontrolled Energy</t>
  </si>
  <si>
    <t>Vibration</t>
  </si>
  <si>
    <t>Walking Surfaces</t>
  </si>
  <si>
    <t>Defenses</t>
  </si>
  <si>
    <t>Alternative Work Methods</t>
  </si>
  <si>
    <t>Approach/Restriction Boundaries</t>
  </si>
  <si>
    <t>Barrier/Shielding</t>
  </si>
  <si>
    <t>Certified Equipment</t>
  </si>
  <si>
    <t>Communication</t>
  </si>
  <si>
    <t>Concern Report</t>
  </si>
  <si>
    <t>Dead Man Switch</t>
  </si>
  <si>
    <t>Ear Defenders</t>
  </si>
  <si>
    <t>Electrical Protection Device</t>
  </si>
  <si>
    <t>Emergency Plan/Response</t>
  </si>
  <si>
    <t>Ergo Assessment</t>
  </si>
  <si>
    <t>Fire Equipment</t>
  </si>
  <si>
    <t>Guarding</t>
  </si>
  <si>
    <t>Housekeeping Program</t>
  </si>
  <si>
    <t>Job Rotation</t>
  </si>
  <si>
    <t>LEV</t>
  </si>
  <si>
    <t>Lighting</t>
  </si>
  <si>
    <t>LOTO</t>
  </si>
  <si>
    <t>Low Vibration Purchasing Policy</t>
  </si>
  <si>
    <t>Low Vibration Tool</t>
  </si>
  <si>
    <t xml:space="preserve">Maintainance </t>
  </si>
  <si>
    <t>Management of Change</t>
  </si>
  <si>
    <t>Manual Handling Technique</t>
  </si>
  <si>
    <t>Peer checking</t>
  </si>
  <si>
    <t>Permits</t>
  </si>
  <si>
    <t>Physical Fitness Program</t>
  </si>
  <si>
    <t>POWGA</t>
  </si>
  <si>
    <t>PPE</t>
  </si>
  <si>
    <t xml:space="preserve">PPE Gloves </t>
  </si>
  <si>
    <t>Pre-use inspection</t>
  </si>
  <si>
    <t>Preventative Maintenance</t>
  </si>
  <si>
    <t>RPE-Respirator</t>
  </si>
  <si>
    <t>Safety Data Sheet</t>
  </si>
  <si>
    <t>Safety Signs</t>
  </si>
  <si>
    <t>Security Plan</t>
  </si>
  <si>
    <t>Sentry (attendant)</t>
  </si>
  <si>
    <t>Stop Work</t>
  </si>
  <si>
    <t>Stretching</t>
  </si>
  <si>
    <t>Supervisory Oversight</t>
  </si>
  <si>
    <t>Time Limitation / Freq Breaks</t>
  </si>
  <si>
    <t xml:space="preserve">Tool Tagging </t>
  </si>
  <si>
    <t>Training/Competency</t>
  </si>
  <si>
    <t>Vibration Management</t>
  </si>
  <si>
    <t>Wearable sensor</t>
  </si>
  <si>
    <t>Work Instruction</t>
  </si>
  <si>
    <t xml:space="preserve">Work Scheduals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</si>
</sst>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family val="2"/>
      <scheme val="minor"/>
    </font>
    <font>
      <sz val="8"/>
      <color theme="1"/>
      <name val="Calibri"/>
      <family val="2"/>
      <scheme val="minor"/>
    </font>
    <font>
      <sz val="10"/>
      <color theme="1"/>
      <name val="Calibri"/>
      <family val="2"/>
      <scheme val="minor"/>
    </font>
    <font>
      <sz val="9"/>
      <color theme="1"/>
      <name val="Calibri"/>
      <family val="2"/>
      <scheme val="minor"/>
    </font>
    <font>
      <b/>
      <sz val="9"/>
      <color theme="1"/>
      <name val="Calibri"/>
      <family val="2"/>
      <scheme val="minor"/>
    </font>
    <font>
      <b/>
      <sz val="8"/>
      <color theme="1"/>
      <name val="Calibri"/>
      <family val="2"/>
      <scheme val="minor"/>
    </font>
    <font>
      <b/>
      <sz val="8"/>
      <color theme="0"/>
      <name val="Calibri"/>
      <family val="2"/>
      <scheme val="minor"/>
    </font>
    <font>
      <b/>
      <sz val="14"/>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u/>
      <sz val="11"/>
      <color theme="10"/>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7"/>
      <color theme="1"/>
      <name val="Calibri"/>
      <family val="2"/>
      <scheme val="minor"/>
    </font>
    <font>
      <sz val="7"/>
      <color theme="0"/>
      <name val="Calibri"/>
      <family val="2"/>
      <scheme val="minor"/>
    </font>
    <font>
      <b/>
      <sz val="7"/>
      <color theme="0"/>
      <name val="Calibri"/>
      <family val="2"/>
      <scheme val="minor"/>
    </font>
    <font>
      <b/>
      <sz val="7"/>
      <color theme="1"/>
      <name val="Calibri"/>
      <family val="2"/>
      <scheme val="minor"/>
    </font>
    <font>
      <b/>
      <sz val="7"/>
      <color theme="9"/>
      <name val="Calibri"/>
      <family val="2"/>
      <scheme val="minor"/>
    </font>
    <font>
      <sz val="7"/>
      <name val="Calibri"/>
      <family val="2"/>
      <scheme val="minor"/>
    </font>
    <font>
      <b/>
      <sz val="7"/>
      <name val="Calibri"/>
      <family val="2"/>
      <scheme val="minor"/>
    </font>
    <font>
      <sz val="8"/>
      <color theme="1"/>
      <name val="Montserrat"/>
    </font>
  </fonts>
  <fills count="14">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theme="2"/>
        <bgColor indexed="64"/>
      </patternFill>
    </fill>
    <fill>
      <patternFill patternType="solid">
        <fgColor rgb="FFFFFF00"/>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8" fillId="0" borderId="0"/>
    <xf numFmtId="0" fontId="8" fillId="0" borderId="0"/>
    <xf numFmtId="0" fontId="20" fillId="0" borderId="0" applyNumberFormat="0" applyFill="0" applyBorder="0" applyAlignment="0" applyProtection="0"/>
    <xf numFmtId="0" fontId="24" fillId="0" borderId="0"/>
    <xf numFmtId="0" fontId="8" fillId="0" borderId="0"/>
    <xf numFmtId="0" fontId="8" fillId="0" borderId="0"/>
  </cellStyleXfs>
  <cellXfs count="239">
    <xf numFmtId="0" fontId="0" fillId="0" borderId="0" xfId="0"/>
    <xf numFmtId="0" fontId="1" fillId="0" borderId="5" xfId="0" applyFont="1" applyBorder="1" applyAlignment="1">
      <alignment horizontal="center" vertical="center"/>
    </xf>
    <xf numFmtId="0" fontId="1" fillId="3" borderId="0" xfId="0" applyFont="1" applyFill="1" applyAlignment="1">
      <alignment horizontal="center" vertical="center"/>
    </xf>
    <xf numFmtId="0" fontId="1" fillId="0" borderId="30" xfId="0" applyFont="1" applyBorder="1" applyAlignment="1">
      <alignment horizontal="center" vertical="center"/>
    </xf>
    <xf numFmtId="0" fontId="1" fillId="0" borderId="19" xfId="0" applyFont="1" applyBorder="1" applyAlignment="1">
      <alignment horizontal="center" vertical="center"/>
    </xf>
    <xf numFmtId="0" fontId="6" fillId="4" borderId="12" xfId="0" applyFont="1" applyFill="1" applyBorder="1" applyAlignment="1">
      <alignment horizontal="center" vertical="center"/>
    </xf>
    <xf numFmtId="0" fontId="6" fillId="4" borderId="29"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6" xfId="0" applyFont="1" applyFill="1" applyBorder="1" applyAlignment="1">
      <alignment horizontal="center" vertical="center"/>
    </xf>
    <xf numFmtId="0" fontId="6" fillId="5" borderId="29" xfId="0" applyFont="1" applyFill="1" applyBorder="1" applyAlignment="1">
      <alignment horizontal="center" vertical="center"/>
    </xf>
    <xf numFmtId="0" fontId="6" fillId="5" borderId="15"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16" xfId="0" applyFont="1" applyFill="1" applyBorder="1" applyAlignment="1">
      <alignment horizontal="center" vertical="center"/>
    </xf>
    <xf numFmtId="0" fontId="6" fillId="6" borderId="13" xfId="0" applyFont="1" applyFill="1" applyBorder="1" applyAlignment="1">
      <alignment horizontal="center" vertical="center"/>
    </xf>
    <xf numFmtId="0" fontId="6" fillId="6" borderId="5" xfId="0" applyFont="1" applyFill="1" applyBorder="1" applyAlignment="1">
      <alignment horizontal="center" vertical="center"/>
    </xf>
    <xf numFmtId="0" fontId="6" fillId="6" borderId="31" xfId="0" applyFont="1" applyFill="1" applyBorder="1" applyAlignment="1">
      <alignment horizontal="center" vertical="center"/>
    </xf>
    <xf numFmtId="0" fontId="6" fillId="6" borderId="6" xfId="0" applyFont="1" applyFill="1" applyBorder="1" applyAlignment="1">
      <alignment horizontal="center" vertical="center"/>
    </xf>
    <xf numFmtId="0" fontId="6" fillId="6" borderId="17"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32" xfId="0" applyFont="1" applyFill="1" applyBorder="1" applyAlignment="1">
      <alignment vertical="center" textRotation="90"/>
    </xf>
    <xf numFmtId="0" fontId="1" fillId="3" borderId="28" xfId="0" applyFont="1" applyFill="1" applyBorder="1" applyAlignment="1">
      <alignment horizontal="center" vertical="center"/>
    </xf>
    <xf numFmtId="0" fontId="1" fillId="0" borderId="29"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4" fillId="2" borderId="17" xfId="0" applyFont="1" applyFill="1" applyBorder="1" applyAlignment="1">
      <alignment horizontal="center" vertical="center"/>
    </xf>
    <xf numFmtId="0" fontId="4" fillId="2" borderId="18" xfId="0" applyFont="1" applyFill="1" applyBorder="1" applyAlignment="1">
      <alignment horizontal="center" vertical="center"/>
    </xf>
    <xf numFmtId="0" fontId="4" fillId="2" borderId="19" xfId="0" applyFont="1" applyFill="1" applyBorder="1" applyAlignment="1">
      <alignment horizontal="center" vertical="center"/>
    </xf>
    <xf numFmtId="0" fontId="5" fillId="0" borderId="15" xfId="0" applyFont="1" applyBorder="1" applyAlignment="1">
      <alignment horizontal="center" vertical="center" wrapText="1"/>
    </xf>
    <xf numFmtId="0" fontId="5" fillId="0" borderId="19" xfId="0" applyFont="1" applyBorder="1" applyAlignment="1">
      <alignment horizontal="center" vertical="center" wrapText="1"/>
    </xf>
    <xf numFmtId="0" fontId="8" fillId="0" borderId="0" xfId="1"/>
    <xf numFmtId="0" fontId="8" fillId="3" borderId="0" xfId="1" applyFill="1"/>
    <xf numFmtId="0" fontId="8" fillId="0" borderId="0" xfId="1" applyAlignment="1">
      <alignment vertical="center" wrapText="1"/>
    </xf>
    <xf numFmtId="0" fontId="11" fillId="3" borderId="0" xfId="1" applyFont="1" applyFill="1"/>
    <xf numFmtId="0" fontId="8" fillId="3" borderId="0" xfId="1" applyFill="1" applyAlignment="1">
      <alignment vertical="center" wrapText="1"/>
    </xf>
    <xf numFmtId="0" fontId="8" fillId="3" borderId="0" xfId="1" applyFill="1" applyAlignment="1">
      <alignment horizontal="center" vertical="center"/>
    </xf>
    <xf numFmtId="0" fontId="13" fillId="4" borderId="5" xfId="1" applyFont="1" applyFill="1" applyBorder="1" applyAlignment="1">
      <alignment horizontal="center" vertical="center" wrapText="1"/>
    </xf>
    <xf numFmtId="0" fontId="13" fillId="5" borderId="5" xfId="1" applyFont="1" applyFill="1" applyBorder="1" applyAlignment="1">
      <alignment horizontal="center" vertical="center" wrapText="1"/>
    </xf>
    <xf numFmtId="0" fontId="10" fillId="7" borderId="5" xfId="1" applyFont="1" applyFill="1" applyBorder="1" applyAlignment="1">
      <alignment horizontal="center" vertical="center" wrapText="1"/>
    </xf>
    <xf numFmtId="0" fontId="15" fillId="3" borderId="0" xfId="1" applyFont="1" applyFill="1" applyAlignment="1">
      <alignment horizontal="center" vertical="center"/>
    </xf>
    <xf numFmtId="0" fontId="13" fillId="8" borderId="5" xfId="1" applyFont="1" applyFill="1" applyBorder="1" applyAlignment="1">
      <alignment horizontal="center" vertical="center" wrapText="1"/>
    </xf>
    <xf numFmtId="0" fontId="8" fillId="0" borderId="5" xfId="1" applyBorder="1" applyAlignment="1">
      <alignment horizontal="center" vertical="center" wrapText="1"/>
    </xf>
    <xf numFmtId="0" fontId="8" fillId="0" borderId="6" xfId="1" applyBorder="1" applyAlignment="1">
      <alignment horizontal="center" vertical="center" wrapText="1"/>
    </xf>
    <xf numFmtId="0" fontId="9" fillId="8" borderId="5" xfId="1" applyFont="1" applyFill="1" applyBorder="1" applyAlignment="1">
      <alignment horizontal="center" vertical="center" wrapText="1"/>
    </xf>
    <xf numFmtId="0" fontId="18" fillId="8" borderId="5" xfId="1" applyFont="1" applyFill="1" applyBorder="1" applyAlignment="1">
      <alignment horizontal="center" vertical="center"/>
    </xf>
    <xf numFmtId="0" fontId="9" fillId="4" borderId="5" xfId="1" applyFont="1" applyFill="1" applyBorder="1" applyAlignment="1">
      <alignment horizontal="center" vertical="center" wrapText="1"/>
    </xf>
    <xf numFmtId="49" fontId="18" fillId="4" borderId="5" xfId="1" applyNumberFormat="1" applyFont="1" applyFill="1" applyBorder="1" applyAlignment="1">
      <alignment horizontal="center" vertical="center"/>
    </xf>
    <xf numFmtId="0" fontId="8" fillId="0" borderId="6" xfId="1" applyBorder="1" applyAlignment="1">
      <alignment horizontal="left" vertical="center" wrapText="1"/>
    </xf>
    <xf numFmtId="0" fontId="9" fillId="5" borderId="5" xfId="1" applyFont="1" applyFill="1" applyBorder="1" applyAlignment="1">
      <alignment horizontal="center" vertical="center" wrapText="1"/>
    </xf>
    <xf numFmtId="49" fontId="18" fillId="5" borderId="5" xfId="1" applyNumberFormat="1" applyFont="1" applyFill="1" applyBorder="1" applyAlignment="1">
      <alignment horizontal="center" vertical="center"/>
    </xf>
    <xf numFmtId="0" fontId="8" fillId="0" borderId="0" xfId="2"/>
    <xf numFmtId="0" fontId="8" fillId="3" borderId="0" xfId="2" applyFill="1"/>
    <xf numFmtId="0" fontId="17" fillId="3" borderId="0" xfId="2" applyFont="1" applyFill="1"/>
    <xf numFmtId="0" fontId="17" fillId="3" borderId="0" xfId="3" applyFont="1" applyFill="1"/>
    <xf numFmtId="0" fontId="8" fillId="0" borderId="21" xfId="2" applyBorder="1" applyAlignment="1">
      <alignment vertical="center"/>
    </xf>
    <xf numFmtId="0" fontId="8" fillId="0" borderId="45" xfId="2" applyBorder="1" applyAlignment="1">
      <alignment vertical="center"/>
    </xf>
    <xf numFmtId="0" fontId="8" fillId="0" borderId="46" xfId="2" applyBorder="1" applyAlignment="1">
      <alignment vertical="center"/>
    </xf>
    <xf numFmtId="0" fontId="8" fillId="0" borderId="47" xfId="2" applyBorder="1" applyAlignment="1">
      <alignment vertical="center"/>
    </xf>
    <xf numFmtId="0" fontId="11" fillId="10" borderId="0" xfId="2" applyFont="1" applyFill="1"/>
    <xf numFmtId="3" fontId="8" fillId="0" borderId="47" xfId="2" applyNumberFormat="1" applyBorder="1" applyAlignment="1">
      <alignment horizontal="center"/>
    </xf>
    <xf numFmtId="3" fontId="8" fillId="0" borderId="34" xfId="2" applyNumberFormat="1" applyBorder="1" applyAlignment="1">
      <alignment horizontal="center"/>
    </xf>
    <xf numFmtId="3" fontId="8" fillId="0" borderId="48" xfId="2" applyNumberFormat="1" applyBorder="1" applyAlignment="1">
      <alignment horizontal="center"/>
    </xf>
    <xf numFmtId="0" fontId="8" fillId="0" borderId="47" xfId="2" applyBorder="1" applyAlignment="1">
      <alignment horizontal="center"/>
    </xf>
    <xf numFmtId="1" fontId="8" fillId="0" borderId="51" xfId="2" applyNumberFormat="1" applyBorder="1" applyAlignment="1">
      <alignment horizontal="center"/>
    </xf>
    <xf numFmtId="1" fontId="8" fillId="0" borderId="52" xfId="2" applyNumberFormat="1" applyBorder="1" applyAlignment="1">
      <alignment horizontal="center"/>
    </xf>
    <xf numFmtId="0" fontId="8" fillId="0" borderId="53" xfId="2" applyBorder="1"/>
    <xf numFmtId="0" fontId="8" fillId="0" borderId="21" xfId="2" applyBorder="1"/>
    <xf numFmtId="0" fontId="8" fillId="0" borderId="45" xfId="2" applyBorder="1"/>
    <xf numFmtId="0" fontId="8" fillId="0" borderId="46" xfId="2" applyBorder="1"/>
    <xf numFmtId="0" fontId="8" fillId="0" borderId="47" xfId="2" applyBorder="1"/>
    <xf numFmtId="0" fontId="8" fillId="0" borderId="54" xfId="2" applyBorder="1"/>
    <xf numFmtId="0" fontId="8" fillId="0" borderId="1" xfId="2" applyBorder="1" applyAlignment="1">
      <alignment horizontal="center"/>
    </xf>
    <xf numFmtId="0" fontId="8" fillId="0" borderId="54" xfId="2" applyBorder="1" applyAlignment="1">
      <alignment horizontal="center"/>
    </xf>
    <xf numFmtId="0" fontId="8" fillId="0" borderId="1" xfId="2" applyBorder="1"/>
    <xf numFmtId="0" fontId="3" fillId="0" borderId="5" xfId="1" applyFont="1" applyBorder="1" applyAlignment="1">
      <alignment horizontal="center" vertical="center" wrapText="1"/>
    </xf>
    <xf numFmtId="0" fontId="21" fillId="11" borderId="5" xfId="1" applyFont="1" applyFill="1" applyBorder="1" applyAlignment="1">
      <alignment horizontal="center" vertical="center"/>
    </xf>
    <xf numFmtId="0" fontId="19" fillId="9" borderId="5" xfId="1" applyFont="1" applyFill="1" applyBorder="1" applyAlignment="1">
      <alignment horizontal="center" vertical="center" wrapText="1"/>
    </xf>
    <xf numFmtId="0" fontId="21" fillId="7" borderId="5" xfId="1" applyFont="1" applyFill="1" applyBorder="1" applyAlignment="1">
      <alignment horizontal="center" vertical="center"/>
    </xf>
    <xf numFmtId="0" fontId="3" fillId="0" borderId="5" xfId="1" applyFont="1" applyBorder="1" applyAlignment="1">
      <alignment horizontal="center" vertical="top" wrapText="1"/>
    </xf>
    <xf numFmtId="0" fontId="22" fillId="0" borderId="43" xfId="1" applyFont="1" applyBorder="1" applyAlignment="1">
      <alignment horizontal="center" vertical="center" wrapText="1"/>
    </xf>
    <xf numFmtId="0" fontId="21" fillId="9" borderId="5" xfId="1" applyFont="1" applyFill="1" applyBorder="1" applyAlignment="1">
      <alignment horizontal="center" vertical="center"/>
    </xf>
    <xf numFmtId="0" fontId="21" fillId="11" borderId="5" xfId="1" applyFont="1" applyFill="1" applyBorder="1" applyAlignment="1">
      <alignment horizontal="center" vertical="center" wrapText="1"/>
    </xf>
    <xf numFmtId="0" fontId="23" fillId="9" borderId="20" xfId="1" applyFont="1" applyFill="1" applyBorder="1" applyAlignment="1">
      <alignment horizontal="center" vertical="center" wrapText="1"/>
    </xf>
    <xf numFmtId="0" fontId="24" fillId="0" borderId="0" xfId="4"/>
    <xf numFmtId="0" fontId="24" fillId="3" borderId="0" xfId="4" applyFill="1"/>
    <xf numFmtId="0" fontId="26" fillId="3" borderId="0" xfId="4" applyFont="1" applyFill="1" applyAlignment="1">
      <alignment vertical="top"/>
    </xf>
    <xf numFmtId="0" fontId="8" fillId="0" borderId="0" xfId="5"/>
    <xf numFmtId="0" fontId="8" fillId="0" borderId="0" xfId="5" applyAlignment="1">
      <alignment vertical="center" wrapText="1"/>
    </xf>
    <xf numFmtId="0" fontId="8" fillId="0" borderId="5" xfId="6" applyBorder="1" applyAlignment="1">
      <alignment vertical="center" wrapText="1"/>
    </xf>
    <xf numFmtId="0" fontId="8" fillId="0" borderId="5" xfId="6" applyBorder="1"/>
    <xf numFmtId="0" fontId="8" fillId="0" borderId="5" xfId="5" applyBorder="1"/>
    <xf numFmtId="0" fontId="24" fillId="0" borderId="0" xfId="4" applyAlignment="1">
      <alignment horizontal="center"/>
    </xf>
    <xf numFmtId="0" fontId="10" fillId="0" borderId="0" xfId="5" applyFont="1"/>
    <xf numFmtId="0" fontId="24" fillId="0" borderId="5" xfId="4" applyBorder="1"/>
    <xf numFmtId="0" fontId="28"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1" fillId="0" borderId="31" xfId="0" applyFont="1" applyBorder="1" applyAlignment="1">
      <alignment horizontal="left"/>
    </xf>
    <xf numFmtId="0" fontId="1" fillId="0" borderId="17" xfId="0" applyFont="1" applyBorder="1" applyAlignment="1">
      <alignment horizontal="left"/>
    </xf>
    <xf numFmtId="0" fontId="1" fillId="0" borderId="31" xfId="0" applyFont="1" applyBorder="1"/>
    <xf numFmtId="0" fontId="5" fillId="2" borderId="30" xfId="0" applyFont="1" applyFill="1" applyBorder="1" applyAlignment="1">
      <alignment horizontal="left" vertical="center"/>
    </xf>
    <xf numFmtId="0" fontId="28" fillId="0" borderId="58" xfId="0" applyFont="1" applyBorder="1" applyAlignment="1">
      <alignment horizontal="center" vertical="center" wrapText="1"/>
    </xf>
    <xf numFmtId="0" fontId="28" fillId="0" borderId="29" xfId="0" applyFont="1" applyBorder="1" applyAlignment="1">
      <alignment horizontal="center" vertical="center" wrapText="1"/>
    </xf>
    <xf numFmtId="0" fontId="1" fillId="0" borderId="14" xfId="0" applyFont="1" applyBorder="1" applyAlignment="1">
      <alignment horizontal="left"/>
    </xf>
    <xf numFmtId="0" fontId="8" fillId="0" borderId="5" xfId="5" applyBorder="1" applyAlignment="1">
      <alignment vertical="center" wrapText="1"/>
    </xf>
    <xf numFmtId="0" fontId="28" fillId="12" borderId="29" xfId="0" applyFont="1" applyFill="1" applyBorder="1" applyAlignment="1">
      <alignment horizontal="center" vertical="center" wrapText="1"/>
    </xf>
    <xf numFmtId="0" fontId="28" fillId="3" borderId="5"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8" fillId="3" borderId="30" xfId="0" applyFont="1" applyFill="1" applyBorder="1" applyAlignment="1">
      <alignment horizontal="left" vertical="center" wrapText="1"/>
    </xf>
    <xf numFmtId="0" fontId="28" fillId="0" borderId="59" xfId="0" applyFont="1" applyBorder="1" applyAlignment="1">
      <alignment horizontal="left" vertical="center" wrapText="1"/>
    </xf>
    <xf numFmtId="0" fontId="24" fillId="13" borderId="5" xfId="4" applyFill="1" applyBorder="1"/>
    <xf numFmtId="0" fontId="0" fillId="13" borderId="5" xfId="6" applyFont="1" applyFill="1" applyBorder="1"/>
    <xf numFmtId="0" fontId="33" fillId="3" borderId="30" xfId="0" applyFont="1" applyFill="1" applyBorder="1" applyAlignment="1">
      <alignment horizontal="left" vertical="center" wrapText="1"/>
    </xf>
    <xf numFmtId="0" fontId="34" fillId="3" borderId="30" xfId="0" applyFont="1" applyFill="1" applyBorder="1" applyAlignment="1">
      <alignment horizontal="left" vertical="center" wrapText="1"/>
    </xf>
    <xf numFmtId="0" fontId="4" fillId="2" borderId="16" xfId="0" applyFont="1" applyFill="1" applyBorder="1" applyAlignment="1">
      <alignment horizontal="center" vertical="center"/>
    </xf>
    <xf numFmtId="0" fontId="5" fillId="0" borderId="16" xfId="0" applyFont="1" applyBorder="1" applyAlignment="1">
      <alignment horizontal="center" vertical="center" wrapText="1"/>
    </xf>
    <xf numFmtId="0" fontId="1" fillId="0" borderId="62" xfId="0" applyFont="1" applyBorder="1" applyAlignment="1">
      <alignment horizontal="left"/>
    </xf>
    <xf numFmtId="14" fontId="35" fillId="0" borderId="30" xfId="0" applyNumberFormat="1" applyFont="1" applyBorder="1" applyAlignment="1">
      <alignment horizontal="left"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0" fontId="30" fillId="6" borderId="5" xfId="0" applyFont="1" applyFill="1" applyBorder="1" applyAlignment="1">
      <alignment horizontal="center" vertical="center" wrapText="1"/>
    </xf>
    <xf numFmtId="0" fontId="30" fillId="6" borderId="5" xfId="0" applyFont="1" applyFill="1" applyBorder="1" applyAlignment="1">
      <alignment horizontal="center" vertical="center"/>
    </xf>
    <xf numFmtId="0" fontId="30" fillId="6" borderId="30" xfId="0" applyFont="1" applyFill="1" applyBorder="1" applyAlignment="1">
      <alignment horizontal="center" vertical="center"/>
    </xf>
    <xf numFmtId="0" fontId="30" fillId="4" borderId="5" xfId="0" applyFont="1" applyFill="1" applyBorder="1" applyAlignment="1">
      <alignment horizontal="center" vertical="top" wrapText="1"/>
    </xf>
    <xf numFmtId="0" fontId="30" fillId="4" borderId="5" xfId="0" applyFont="1" applyFill="1" applyBorder="1" applyAlignment="1">
      <alignment horizontal="center" vertical="top"/>
    </xf>
    <xf numFmtId="0" fontId="30" fillId="4" borderId="30" xfId="0" applyFont="1" applyFill="1" applyBorder="1" applyAlignment="1">
      <alignment horizontal="center" vertical="top"/>
    </xf>
    <xf numFmtId="0" fontId="3" fillId="2" borderId="0" xfId="0" applyFont="1" applyFill="1" applyAlignment="1">
      <alignment horizontal="center" vertical="center" textRotation="90"/>
    </xf>
    <xf numFmtId="0" fontId="3" fillId="2" borderId="28" xfId="0" applyFont="1" applyFill="1" applyBorder="1" applyAlignment="1">
      <alignment horizontal="center" vertical="center" textRotation="90"/>
    </xf>
    <xf numFmtId="0" fontId="30" fillId="5" borderId="5" xfId="0" applyFont="1" applyFill="1" applyBorder="1" applyAlignment="1">
      <alignment horizontal="center" vertical="center" wrapText="1"/>
    </xf>
    <xf numFmtId="0" fontId="30" fillId="5" borderId="5" xfId="0" applyFont="1" applyFill="1" applyBorder="1" applyAlignment="1">
      <alignment horizontal="center" vertical="center"/>
    </xf>
    <xf numFmtId="0" fontId="30" fillId="5" borderId="30" xfId="0" applyFont="1" applyFill="1" applyBorder="1" applyAlignment="1">
      <alignment horizontal="center" vertical="center"/>
    </xf>
    <xf numFmtId="0" fontId="30" fillId="5" borderId="16" xfId="0" applyFont="1" applyFill="1" applyBorder="1" applyAlignment="1">
      <alignment horizontal="center" vertical="center"/>
    </xf>
    <xf numFmtId="0" fontId="30" fillId="5" borderId="19" xfId="0" applyFont="1" applyFill="1" applyBorder="1" applyAlignment="1">
      <alignment horizontal="center" vertical="center"/>
    </xf>
    <xf numFmtId="0" fontId="1" fillId="2" borderId="21" xfId="0" applyFont="1" applyFill="1" applyBorder="1" applyAlignment="1">
      <alignment horizontal="left"/>
    </xf>
    <xf numFmtId="0" fontId="1" fillId="2" borderId="22" xfId="0" applyFont="1" applyFill="1" applyBorder="1" applyAlignment="1">
      <alignment horizontal="left"/>
    </xf>
    <xf numFmtId="0" fontId="1" fillId="2" borderId="55" xfId="0" applyFont="1" applyFill="1" applyBorder="1" applyAlignment="1">
      <alignment horizontal="left"/>
    </xf>
    <xf numFmtId="0" fontId="1" fillId="2" borderId="57" xfId="0" applyFont="1" applyFill="1" applyBorder="1" applyAlignment="1">
      <alignment horizontal="left"/>
    </xf>
    <xf numFmtId="0" fontId="1" fillId="2" borderId="56" xfId="0" applyFont="1" applyFill="1" applyBorder="1" applyAlignment="1">
      <alignment horizontal="left"/>
    </xf>
    <xf numFmtId="0" fontId="1" fillId="2" borderId="18" xfId="0" applyFont="1" applyFill="1" applyBorder="1" applyAlignment="1">
      <alignment horizontal="left"/>
    </xf>
    <xf numFmtId="0" fontId="3" fillId="2" borderId="21" xfId="0" applyFont="1" applyFill="1" applyBorder="1" applyAlignment="1">
      <alignment horizontal="lef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33" fillId="0" borderId="24" xfId="0" applyFont="1" applyBorder="1" applyAlignment="1">
      <alignment horizontal="left" vertical="top" wrapText="1"/>
    </xf>
    <xf numFmtId="0" fontId="33" fillId="0" borderId="9" xfId="0" applyFont="1" applyBorder="1" applyAlignment="1">
      <alignment horizontal="left" vertical="top" wrapText="1"/>
    </xf>
    <xf numFmtId="0" fontId="33" fillId="0" borderId="25" xfId="0" applyFont="1" applyBorder="1" applyAlignment="1">
      <alignment horizontal="left" vertical="top" wrapText="1"/>
    </xf>
    <xf numFmtId="0" fontId="33" fillId="0" borderId="26" xfId="0" applyFont="1" applyBorder="1" applyAlignment="1">
      <alignment horizontal="left" vertical="top" wrapText="1"/>
    </xf>
    <xf numFmtId="0" fontId="33" fillId="0" borderId="0" xfId="0" applyFont="1" applyAlignment="1">
      <alignment horizontal="left" vertical="top" wrapText="1"/>
    </xf>
    <xf numFmtId="0" fontId="33" fillId="0" borderId="27" xfId="0" applyFont="1" applyBorder="1" applyAlignment="1">
      <alignment horizontal="left" vertical="top" wrapText="1"/>
    </xf>
    <xf numFmtId="0" fontId="1" fillId="0" borderId="22" xfId="0" applyFont="1" applyBorder="1" applyAlignment="1">
      <alignment horizontal="left"/>
    </xf>
    <xf numFmtId="0" fontId="1" fillId="0" borderId="55" xfId="0" applyFont="1" applyBorder="1" applyAlignment="1">
      <alignment horizontal="left"/>
    </xf>
    <xf numFmtId="0" fontId="1" fillId="0" borderId="56" xfId="0" applyFont="1" applyBorder="1" applyAlignment="1">
      <alignment horizontal="left"/>
    </xf>
    <xf numFmtId="0" fontId="1" fillId="0" borderId="18" xfId="0" applyFont="1" applyBorder="1" applyAlignment="1">
      <alignment horizontal="left"/>
    </xf>
    <xf numFmtId="0" fontId="28" fillId="3" borderId="5" xfId="0" applyFont="1" applyFill="1" applyBorder="1" applyAlignment="1">
      <alignment horizontal="left" vertical="center" wrapText="1"/>
    </xf>
    <xf numFmtId="0" fontId="28" fillId="3" borderId="11" xfId="0" applyFont="1" applyFill="1" applyBorder="1" applyAlignment="1">
      <alignment horizontal="left" vertical="center" wrapText="1"/>
    </xf>
    <xf numFmtId="0" fontId="28" fillId="3" borderId="6" xfId="0" applyFont="1" applyFill="1" applyBorder="1" applyAlignment="1">
      <alignment horizontal="left" vertical="center" wrapText="1"/>
    </xf>
    <xf numFmtId="0" fontId="28" fillId="3" borderId="7" xfId="0" applyFont="1" applyFill="1" applyBorder="1" applyAlignment="1">
      <alignment horizontal="left" vertical="center" wrapText="1"/>
    </xf>
    <xf numFmtId="0" fontId="28" fillId="3" borderId="8" xfId="0" applyFont="1" applyFill="1" applyBorder="1" applyAlignment="1">
      <alignment horizontal="left" vertical="center" wrapText="1"/>
    </xf>
    <xf numFmtId="0" fontId="5" fillId="0" borderId="34" xfId="0" applyFont="1" applyBorder="1" applyAlignment="1">
      <alignment horizontal="center" vertical="center"/>
    </xf>
    <xf numFmtId="0" fontId="5" fillId="0" borderId="33" xfId="0" applyFont="1" applyBorder="1" applyAlignment="1">
      <alignment horizontal="center" vertical="center"/>
    </xf>
    <xf numFmtId="0" fontId="5" fillId="0" borderId="35" xfId="0" applyFont="1" applyBorder="1" applyAlignment="1">
      <alignment horizontal="center" vertical="center"/>
    </xf>
    <xf numFmtId="0" fontId="28" fillId="0" borderId="11" xfId="0" applyFont="1" applyBorder="1" applyAlignment="1">
      <alignment horizontal="left" vertical="center" wrapText="1"/>
    </xf>
    <xf numFmtId="0" fontId="31" fillId="3" borderId="5" xfId="0" applyFont="1" applyFill="1" applyBorder="1" applyAlignment="1">
      <alignment horizontal="left" vertical="center" wrapText="1"/>
    </xf>
    <xf numFmtId="0" fontId="0" fillId="0" borderId="1" xfId="0" applyBorder="1" applyAlignment="1">
      <alignment horizontal="center"/>
    </xf>
    <xf numFmtId="0" fontId="0" fillId="0" borderId="32" xfId="0" applyBorder="1" applyAlignment="1">
      <alignment horizontal="center"/>
    </xf>
    <xf numFmtId="0" fontId="0" fillId="0" borderId="2" xfId="0" applyBorder="1" applyAlignment="1">
      <alignment horizontal="center"/>
    </xf>
    <xf numFmtId="0" fontId="0" fillId="0" borderId="26" xfId="0" applyBorder="1" applyAlignment="1">
      <alignment horizontal="center"/>
    </xf>
    <xf numFmtId="0" fontId="0" fillId="0" borderId="0" xfId="0" applyAlignment="1">
      <alignment horizontal="center"/>
    </xf>
    <xf numFmtId="0" fontId="0" fillId="0" borderId="27" xfId="0" applyBorder="1" applyAlignment="1">
      <alignment horizontal="center"/>
    </xf>
    <xf numFmtId="0" fontId="0" fillId="0" borderId="3" xfId="0" applyBorder="1" applyAlignment="1">
      <alignment horizontal="center"/>
    </xf>
    <xf numFmtId="0" fontId="0" fillId="0" borderId="28" xfId="0" applyBorder="1" applyAlignment="1">
      <alignment horizontal="center"/>
    </xf>
    <xf numFmtId="0" fontId="0" fillId="0" borderId="4" xfId="0" applyBorder="1" applyAlignment="1">
      <alignment horizont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29"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30" xfId="0" applyFont="1" applyFill="1" applyBorder="1" applyAlignment="1">
      <alignment horizontal="center" vertical="center"/>
    </xf>
    <xf numFmtId="0" fontId="5" fillId="2" borderId="29" xfId="0" applyFont="1" applyFill="1" applyBorder="1" applyAlignment="1">
      <alignment horizontal="left" vertical="center"/>
    </xf>
    <xf numFmtId="0" fontId="5" fillId="2" borderId="5" xfId="0" applyFont="1" applyFill="1" applyBorder="1" applyAlignment="1">
      <alignment horizontal="left" vertic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35" fillId="0" borderId="29" xfId="0" applyFont="1" applyBorder="1" applyAlignment="1">
      <alignment horizontal="left" vertical="center" wrapText="1"/>
    </xf>
    <xf numFmtId="0" fontId="35" fillId="0" borderId="5" xfId="0" applyFont="1" applyBorder="1" applyAlignment="1">
      <alignment horizontal="left" vertical="center" wrapText="1"/>
    </xf>
    <xf numFmtId="0" fontId="35" fillId="0" borderId="5" xfId="0" applyFont="1" applyBorder="1" applyAlignment="1">
      <alignment horizontal="left" vertical="center"/>
    </xf>
    <xf numFmtId="1" fontId="35" fillId="0" borderId="5" xfId="0" applyNumberFormat="1" applyFont="1" applyBorder="1" applyAlignment="1">
      <alignment horizontal="center" vertical="center"/>
    </xf>
    <xf numFmtId="0" fontId="0" fillId="3" borderId="58" xfId="0" applyFill="1" applyBorder="1" applyAlignment="1">
      <alignment horizontal="center"/>
    </xf>
    <xf numFmtId="0" fontId="0" fillId="3" borderId="11" xfId="0" applyFill="1" applyBorder="1" applyAlignment="1">
      <alignment horizontal="center"/>
    </xf>
    <xf numFmtId="0" fontId="0" fillId="3" borderId="59" xfId="0" applyFill="1" applyBorder="1" applyAlignment="1">
      <alignment horizontal="center"/>
    </xf>
    <xf numFmtId="0" fontId="5" fillId="0" borderId="16" xfId="0" applyFont="1" applyBorder="1" applyAlignment="1">
      <alignment horizontal="center" vertical="center" wrapText="1"/>
    </xf>
    <xf numFmtId="0" fontId="5" fillId="0" borderId="16" xfId="0" applyFont="1" applyBorder="1" applyAlignment="1">
      <alignment horizontal="center" vertical="center"/>
    </xf>
    <xf numFmtId="0" fontId="35" fillId="0" borderId="1" xfId="0" applyFont="1" applyBorder="1" applyAlignment="1">
      <alignment horizontal="center" vertical="center" wrapText="1"/>
    </xf>
    <xf numFmtId="0" fontId="35" fillId="0" borderId="32" xfId="0" applyFont="1" applyBorder="1" applyAlignment="1">
      <alignment horizontal="center" vertical="center"/>
    </xf>
    <xf numFmtId="0" fontId="35" fillId="0" borderId="2" xfId="0" applyFont="1" applyBorder="1" applyAlignment="1">
      <alignment horizontal="center" vertical="center"/>
    </xf>
    <xf numFmtId="0" fontId="35" fillId="0" borderId="36" xfId="0" applyFont="1" applyBorder="1" applyAlignment="1">
      <alignment horizontal="center" vertical="center"/>
    </xf>
    <xf numFmtId="0" fontId="35" fillId="0" borderId="10" xfId="0" applyFont="1" applyBorder="1" applyAlignment="1">
      <alignment horizontal="center" vertical="center"/>
    </xf>
    <xf numFmtId="0" fontId="35" fillId="0" borderId="37" xfId="0" applyFont="1" applyBorder="1" applyAlignment="1">
      <alignment horizontal="center" vertical="center"/>
    </xf>
    <xf numFmtId="0" fontId="1" fillId="3" borderId="1" xfId="0" applyFont="1" applyFill="1" applyBorder="1" applyAlignment="1">
      <alignment horizontal="center" vertical="center"/>
    </xf>
    <xf numFmtId="0" fontId="1" fillId="3" borderId="32" xfId="0" applyFont="1" applyFill="1" applyBorder="1" applyAlignment="1">
      <alignment horizontal="center" vertical="center"/>
    </xf>
    <xf numFmtId="0" fontId="1" fillId="3" borderId="2" xfId="0" applyFont="1" applyFill="1" applyBorder="1" applyAlignment="1">
      <alignment horizontal="center" vertical="center"/>
    </xf>
    <xf numFmtId="0" fontId="5" fillId="2" borderId="60" xfId="0" applyFont="1" applyFill="1" applyBorder="1" applyAlignment="1">
      <alignment horizontal="left"/>
    </xf>
    <xf numFmtId="0" fontId="5" fillId="2" borderId="7" xfId="0" applyFont="1" applyFill="1" applyBorder="1" applyAlignment="1">
      <alignment horizontal="left"/>
    </xf>
    <xf numFmtId="0" fontId="5" fillId="2" borderId="61" xfId="0" applyFont="1" applyFill="1" applyBorder="1" applyAlignment="1">
      <alignment horizontal="left"/>
    </xf>
    <xf numFmtId="0" fontId="3" fillId="2" borderId="32" xfId="0" applyFont="1" applyFill="1" applyBorder="1" applyAlignment="1">
      <alignment horizontal="center" vertical="center"/>
    </xf>
    <xf numFmtId="0" fontId="5" fillId="0" borderId="29" xfId="0" applyFont="1" applyBorder="1" applyAlignment="1">
      <alignment horizontal="center" vertical="center"/>
    </xf>
    <xf numFmtId="0" fontId="7" fillId="3" borderId="26" xfId="0" applyFont="1" applyFill="1" applyBorder="1" applyAlignment="1">
      <alignment horizontal="center" vertical="center"/>
    </xf>
    <xf numFmtId="0" fontId="7" fillId="3" borderId="0" xfId="0" applyFont="1" applyFill="1" applyAlignment="1">
      <alignment horizontal="center" vertical="center"/>
    </xf>
    <xf numFmtId="0" fontId="7" fillId="3" borderId="27"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4" xfId="0" applyFont="1" applyFill="1" applyBorder="1" applyAlignment="1">
      <alignment horizontal="center" vertical="center"/>
    </xf>
    <xf numFmtId="0" fontId="5" fillId="2" borderId="5" xfId="0" applyFont="1" applyFill="1" applyBorder="1" applyAlignment="1">
      <alignment horizontal="center" vertical="center"/>
    </xf>
    <xf numFmtId="0" fontId="4" fillId="2" borderId="14" xfId="0" applyFont="1" applyFill="1" applyBorder="1" applyAlignment="1">
      <alignment horizontal="center" vertical="center"/>
    </xf>
    <xf numFmtId="0" fontId="5" fillId="0" borderId="15" xfId="0" applyFont="1" applyBorder="1" applyAlignment="1">
      <alignment horizontal="center" vertical="center"/>
    </xf>
    <xf numFmtId="0" fontId="19" fillId="9" borderId="6" xfId="1" applyFont="1" applyFill="1" applyBorder="1" applyAlignment="1">
      <alignment horizontal="center" vertical="center" wrapText="1"/>
    </xf>
    <xf numFmtId="0" fontId="19" fillId="9" borderId="7" xfId="1" applyFont="1" applyFill="1" applyBorder="1" applyAlignment="1">
      <alignment horizontal="center" vertical="center" wrapText="1"/>
    </xf>
    <xf numFmtId="0" fontId="19" fillId="9" borderId="8" xfId="1" applyFont="1" applyFill="1" applyBorder="1" applyAlignment="1">
      <alignment horizontal="center" vertical="center" wrapText="1"/>
    </xf>
    <xf numFmtId="0" fontId="14" fillId="9" borderId="5" xfId="1" applyFont="1" applyFill="1" applyBorder="1" applyAlignment="1">
      <alignment horizontal="center" vertical="center" wrapText="1"/>
    </xf>
    <xf numFmtId="0" fontId="14" fillId="9" borderId="5" xfId="1" applyFont="1" applyFill="1" applyBorder="1" applyAlignment="1">
      <alignment horizontal="center" vertical="center"/>
    </xf>
    <xf numFmtId="0" fontId="14" fillId="9" borderId="43" xfId="1" applyFont="1" applyFill="1" applyBorder="1" applyAlignment="1">
      <alignment horizontal="center" vertical="center"/>
    </xf>
    <xf numFmtId="0" fontId="14" fillId="9" borderId="42" xfId="1" applyFont="1" applyFill="1" applyBorder="1" applyAlignment="1">
      <alignment horizontal="center" vertical="center"/>
    </xf>
    <xf numFmtId="0" fontId="14" fillId="9" borderId="40" xfId="1" applyFont="1" applyFill="1" applyBorder="1" applyAlignment="1">
      <alignment horizontal="center" vertical="center"/>
    </xf>
    <xf numFmtId="0" fontId="14" fillId="9" borderId="39" xfId="1" applyFont="1" applyFill="1" applyBorder="1" applyAlignment="1">
      <alignment horizontal="center" vertical="center"/>
    </xf>
    <xf numFmtId="0" fontId="10" fillId="7" borderId="44" xfId="1" applyFont="1" applyFill="1" applyBorder="1" applyAlignment="1">
      <alignment horizontal="left" vertical="top" wrapText="1"/>
    </xf>
    <xf numFmtId="0" fontId="10" fillId="7" borderId="41" xfId="1" applyFont="1" applyFill="1" applyBorder="1" applyAlignment="1">
      <alignment horizontal="left" vertical="top"/>
    </xf>
    <xf numFmtId="0" fontId="10" fillId="7" borderId="38" xfId="1" applyFont="1" applyFill="1" applyBorder="1" applyAlignment="1">
      <alignment horizontal="left" vertical="top"/>
    </xf>
    <xf numFmtId="0" fontId="12" fillId="3" borderId="0" xfId="1" applyFont="1" applyFill="1" applyAlignment="1">
      <alignment horizontal="center" vertical="center" textRotation="90"/>
    </xf>
    <xf numFmtId="0" fontId="16" fillId="3" borderId="9" xfId="1" applyFont="1" applyFill="1" applyBorder="1" applyAlignment="1">
      <alignment horizontal="left" vertical="top" wrapText="1"/>
    </xf>
    <xf numFmtId="0" fontId="19" fillId="9" borderId="5" xfId="1" applyFont="1" applyFill="1" applyBorder="1" applyAlignment="1">
      <alignment horizontal="center" vertical="center" wrapText="1"/>
    </xf>
    <xf numFmtId="0" fontId="19" fillId="9" borderId="20" xfId="1" applyFont="1" applyFill="1" applyBorder="1" applyAlignment="1">
      <alignment horizontal="center" vertical="center" wrapText="1"/>
    </xf>
    <xf numFmtId="0" fontId="19" fillId="9" borderId="11" xfId="1" applyFont="1" applyFill="1" applyBorder="1" applyAlignment="1">
      <alignment horizontal="center" vertical="center" wrapText="1"/>
    </xf>
    <xf numFmtId="0" fontId="19" fillId="9" borderId="43" xfId="1" applyFont="1" applyFill="1" applyBorder="1" applyAlignment="1">
      <alignment horizontal="center" vertical="center" wrapText="1"/>
    </xf>
    <xf numFmtId="0" fontId="19" fillId="9" borderId="42" xfId="1" applyFont="1" applyFill="1" applyBorder="1" applyAlignment="1">
      <alignment horizontal="center" vertical="center" wrapText="1"/>
    </xf>
    <xf numFmtId="0" fontId="19" fillId="9" borderId="40" xfId="1" applyFont="1" applyFill="1" applyBorder="1" applyAlignment="1">
      <alignment horizontal="center" vertical="center" wrapText="1"/>
    </xf>
    <xf numFmtId="0" fontId="19" fillId="9" borderId="39" xfId="1" applyFont="1" applyFill="1" applyBorder="1" applyAlignment="1">
      <alignment horizontal="center" vertical="center" wrapText="1"/>
    </xf>
    <xf numFmtId="0" fontId="8" fillId="0" borderId="50" xfId="2" applyBorder="1" applyAlignment="1">
      <alignment horizontal="left"/>
    </xf>
    <xf numFmtId="0" fontId="8" fillId="0" borderId="49" xfId="2" applyBorder="1" applyAlignment="1">
      <alignment horizontal="left"/>
    </xf>
    <xf numFmtId="0" fontId="1" fillId="0" borderId="34" xfId="2" applyFont="1" applyBorder="1" applyAlignment="1">
      <alignment horizontal="left" vertical="top" wrapText="1"/>
    </xf>
    <xf numFmtId="0" fontId="1" fillId="0" borderId="35" xfId="2" applyFont="1" applyBorder="1" applyAlignment="1">
      <alignment horizontal="left" vertical="top" wrapText="1"/>
    </xf>
    <xf numFmtId="0" fontId="25" fillId="3" borderId="0" xfId="4" applyFont="1" applyFill="1" applyAlignment="1">
      <alignment horizontal="left" vertical="top" wrapText="1"/>
    </xf>
  </cellXfs>
  <cellStyles count="7">
    <cellStyle name="Hyperlink" xfId="3" builtinId="8"/>
    <cellStyle name="Normal" xfId="0" builtinId="0"/>
    <cellStyle name="Normal 2" xfId="4" xr:uid="{1468DFB7-A64F-4035-94D4-B26D6719AA58}"/>
    <cellStyle name="Normal 5" xfId="1" xr:uid="{FCA6291F-B1B5-4393-9EF3-EC64E6B24D7E}"/>
    <cellStyle name="Normal 6" xfId="5" xr:uid="{A874667F-4440-4C4D-8D9F-05A9C42EA0A8}"/>
    <cellStyle name="Normal 6 2" xfId="6" xr:uid="{049A8025-3F63-49AB-8569-4C36518D5D3A}"/>
    <cellStyle name="Normal 7" xfId="2" xr:uid="{5BD2A739-AC44-4DBF-ADD1-83404A51650C}"/>
  </cellStyles>
  <dxfs count="21">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133348</xdr:rowOff>
    </xdr:from>
    <xdr:to>
      <xdr:col>2</xdr:col>
      <xdr:colOff>271096</xdr:colOff>
      <xdr:row>2</xdr:row>
      <xdr:rowOff>208809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33348"/>
          <a:ext cx="1188427" cy="3978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7</xdr:row>
          <xdr:rowOff>9525</xdr:rowOff>
        </xdr:from>
        <xdr:to>
          <xdr:col>2</xdr:col>
          <xdr:colOff>171450</xdr:colOff>
          <xdr:row>7</xdr:row>
          <xdr:rowOff>171450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7</xdr:row>
          <xdr:rowOff>19050</xdr:rowOff>
        </xdr:from>
        <xdr:to>
          <xdr:col>6</xdr:col>
          <xdr:colOff>19050</xdr:colOff>
          <xdr:row>8</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xdr:row>
          <xdr:rowOff>19050</xdr:rowOff>
        </xdr:from>
        <xdr:to>
          <xdr:col>11</xdr:col>
          <xdr:colOff>0</xdr:colOff>
          <xdr:row>8</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7</xdr:row>
          <xdr:rowOff>9525</xdr:rowOff>
        </xdr:from>
        <xdr:to>
          <xdr:col>12</xdr:col>
          <xdr:colOff>114300</xdr:colOff>
          <xdr:row>7</xdr:row>
          <xdr:rowOff>171450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7</xdr:row>
          <xdr:rowOff>19050</xdr:rowOff>
        </xdr:from>
        <xdr:to>
          <xdr:col>13</xdr:col>
          <xdr:colOff>152400</xdr:colOff>
          <xdr:row>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447675</xdr:colOff>
          <xdr:row>7</xdr:row>
          <xdr:rowOff>19050</xdr:rowOff>
        </xdr:from>
        <xdr:to>
          <xdr:col>17</xdr:col>
          <xdr:colOff>95250</xdr:colOff>
          <xdr:row>8</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7</xdr:row>
          <xdr:rowOff>9525</xdr:rowOff>
        </xdr:from>
        <xdr:to>
          <xdr:col>17</xdr:col>
          <xdr:colOff>3876675</xdr:colOff>
          <xdr:row>8</xdr:row>
          <xdr:rowOff>9525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(Specify)___Personnel working in the immediate area________________________</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R48"/>
  <sheetViews>
    <sheetView tabSelected="1" zoomScale="130" zoomScaleNormal="130" workbookViewId="0">
      <selection activeCell="A34" sqref="A34:XFD1048576"/>
    </sheetView>
  </sheetViews>
  <sheetFormatPr defaultColWidth="0" defaultRowHeight="15" zeroHeight="1"/>
  <cols>
    <col min="1" max="1" width="2.42578125" customWidth="1"/>
    <col min="2" max="2" width="12.140625" customWidth="1"/>
    <col min="3" max="3" width="5.140625" customWidth="1"/>
    <col min="4" max="4" width="8.7109375" bestFit="1" customWidth="1"/>
    <col min="5" max="11" width="2.85546875" customWidth="1"/>
    <col min="12" max="12" width="9.42578125" customWidth="1"/>
    <col min="13" max="13" width="11" customWidth="1"/>
    <col min="14" max="14" width="2.5703125" customWidth="1"/>
    <col min="15" max="17" width="2.85546875" customWidth="1"/>
    <col min="18" max="18" width="70.5703125" customWidth="1"/>
    <col min="19" max="16384" width="9.140625" hidden="1"/>
  </cols>
  <sheetData>
    <row r="1" spans="1:18" ht="12.95" customHeight="1">
      <c r="A1" s="162"/>
      <c r="B1" s="163"/>
      <c r="C1" s="164"/>
      <c r="D1" s="196" t="s">
        <v>0</v>
      </c>
      <c r="E1" s="197"/>
      <c r="F1" s="197"/>
      <c r="G1" s="197"/>
      <c r="H1" s="197"/>
      <c r="I1" s="197"/>
      <c r="J1" s="197"/>
      <c r="K1" s="198"/>
      <c r="L1" s="190" t="s">
        <v>1</v>
      </c>
      <c r="M1" s="191"/>
      <c r="N1" s="191"/>
      <c r="O1" s="191"/>
      <c r="P1" s="191"/>
      <c r="Q1" s="191"/>
      <c r="R1" s="192"/>
    </row>
    <row r="2" spans="1:18" ht="12.95" customHeight="1">
      <c r="A2" s="165"/>
      <c r="B2" s="166"/>
      <c r="C2" s="167"/>
      <c r="D2" s="204" t="s">
        <v>2</v>
      </c>
      <c r="E2" s="205"/>
      <c r="F2" s="205"/>
      <c r="G2" s="205"/>
      <c r="H2" s="205"/>
      <c r="I2" s="205"/>
      <c r="J2" s="205"/>
      <c r="K2" s="206"/>
      <c r="L2" s="193"/>
      <c r="M2" s="194"/>
      <c r="N2" s="194"/>
      <c r="O2" s="194"/>
      <c r="P2" s="194"/>
      <c r="Q2" s="194"/>
      <c r="R2" s="195"/>
    </row>
    <row r="3" spans="1:18" ht="21.95" customHeight="1" thickBot="1">
      <c r="A3" s="168"/>
      <c r="B3" s="169"/>
      <c r="C3" s="170"/>
      <c r="D3" s="207"/>
      <c r="E3" s="208"/>
      <c r="F3" s="208"/>
      <c r="G3" s="208"/>
      <c r="H3" s="208"/>
      <c r="I3" s="208"/>
      <c r="J3" s="208"/>
      <c r="K3" s="209"/>
      <c r="L3" s="27" t="s">
        <v>3</v>
      </c>
      <c r="M3" s="113" t="s">
        <v>4</v>
      </c>
      <c r="N3" s="188" t="s">
        <v>5</v>
      </c>
      <c r="O3" s="189"/>
      <c r="P3" s="189"/>
      <c r="Q3" s="189"/>
      <c r="R3" s="28" t="s">
        <v>6</v>
      </c>
    </row>
    <row r="4" spans="1:18" ht="2.1" customHeight="1">
      <c r="A4" s="185"/>
      <c r="B4" s="186"/>
      <c r="C4" s="186"/>
      <c r="D4" s="186"/>
      <c r="E4" s="186"/>
      <c r="F4" s="186"/>
      <c r="G4" s="186"/>
      <c r="H4" s="186"/>
      <c r="I4" s="186"/>
      <c r="J4" s="186"/>
      <c r="K4" s="186"/>
      <c r="L4" s="186"/>
      <c r="M4" s="186"/>
      <c r="N4" s="186"/>
      <c r="O4" s="186"/>
      <c r="P4" s="186"/>
      <c r="Q4" s="186"/>
      <c r="R4" s="187"/>
    </row>
    <row r="5" spans="1:18" ht="14.1" customHeight="1">
      <c r="A5" s="177" t="s">
        <v>7</v>
      </c>
      <c r="B5" s="178"/>
      <c r="C5" s="178"/>
      <c r="D5" s="178"/>
      <c r="E5" s="178"/>
      <c r="F5" s="178"/>
      <c r="G5" s="178" t="s">
        <v>8</v>
      </c>
      <c r="H5" s="178"/>
      <c r="I5" s="178"/>
      <c r="J5" s="178"/>
      <c r="K5" s="178"/>
      <c r="L5" s="178"/>
      <c r="M5" s="178"/>
      <c r="N5" s="210" t="s">
        <v>9</v>
      </c>
      <c r="O5" s="210"/>
      <c r="P5" s="210"/>
      <c r="Q5" s="210"/>
      <c r="R5" s="98" t="s">
        <v>10</v>
      </c>
    </row>
    <row r="6" spans="1:18" ht="28.5" customHeight="1">
      <c r="A6" s="181" t="s">
        <v>11</v>
      </c>
      <c r="B6" s="182"/>
      <c r="C6" s="182"/>
      <c r="D6" s="182"/>
      <c r="E6" s="182"/>
      <c r="F6" s="182"/>
      <c r="G6" s="183" t="s">
        <v>12</v>
      </c>
      <c r="H6" s="183"/>
      <c r="I6" s="183"/>
      <c r="J6" s="183"/>
      <c r="K6" s="183"/>
      <c r="L6" s="183"/>
      <c r="M6" s="183"/>
      <c r="N6" s="184">
        <v>1</v>
      </c>
      <c r="O6" s="184"/>
      <c r="P6" s="184"/>
      <c r="Q6" s="184"/>
      <c r="R6" s="115">
        <v>44119</v>
      </c>
    </row>
    <row r="7" spans="1:18" ht="13.5" customHeight="1">
      <c r="A7" s="199" t="s">
        <v>13</v>
      </c>
      <c r="B7" s="200"/>
      <c r="C7" s="200"/>
      <c r="D7" s="200"/>
      <c r="E7" s="200"/>
      <c r="F7" s="200"/>
      <c r="G7" s="200"/>
      <c r="H7" s="200"/>
      <c r="I7" s="200"/>
      <c r="J7" s="200"/>
      <c r="K7" s="200"/>
      <c r="L7" s="200"/>
      <c r="M7" s="200"/>
      <c r="N7" s="200"/>
      <c r="O7" s="200"/>
      <c r="P7" s="200"/>
      <c r="Q7" s="200"/>
      <c r="R7" s="201"/>
    </row>
    <row r="8" spans="1:18" ht="14.45" customHeight="1" thickBot="1">
      <c r="A8" s="165"/>
      <c r="B8" s="166"/>
      <c r="C8" s="166"/>
      <c r="D8" s="166"/>
      <c r="E8" s="166"/>
      <c r="F8" s="166"/>
      <c r="G8" s="166"/>
      <c r="H8" s="166"/>
      <c r="I8" s="166"/>
      <c r="J8" s="166"/>
      <c r="K8" s="166"/>
      <c r="L8" s="166"/>
      <c r="M8" s="166"/>
      <c r="N8" s="166"/>
      <c r="O8" s="166"/>
      <c r="P8" s="166"/>
      <c r="Q8" s="166"/>
      <c r="R8" s="167"/>
    </row>
    <row r="9" spans="1:18" ht="11.1" customHeight="1">
      <c r="A9" s="171" t="s">
        <v>14</v>
      </c>
      <c r="B9" s="172"/>
      <c r="C9" s="172" t="s">
        <v>15</v>
      </c>
      <c r="D9" s="175"/>
      <c r="E9" s="19"/>
      <c r="F9" s="202" t="s">
        <v>16</v>
      </c>
      <c r="G9" s="202"/>
      <c r="H9" s="202"/>
      <c r="I9" s="202"/>
      <c r="J9" s="202"/>
      <c r="K9" s="202"/>
      <c r="L9" s="18" t="s">
        <v>17</v>
      </c>
      <c r="M9" s="179" t="s">
        <v>18</v>
      </c>
      <c r="N9" s="179"/>
      <c r="O9" s="179"/>
      <c r="P9" s="179"/>
      <c r="Q9" s="179"/>
      <c r="R9" s="180"/>
    </row>
    <row r="10" spans="1:18" ht="9.9499999999999993" customHeight="1" thickBot="1">
      <c r="A10" s="173"/>
      <c r="B10" s="174"/>
      <c r="C10" s="174"/>
      <c r="D10" s="176"/>
      <c r="E10" s="126" t="s">
        <v>19</v>
      </c>
      <c r="F10" s="2"/>
      <c r="G10" s="2" t="s">
        <v>20</v>
      </c>
      <c r="H10" s="2" t="s">
        <v>21</v>
      </c>
      <c r="I10" s="2" t="s">
        <v>22</v>
      </c>
      <c r="J10" s="2" t="s">
        <v>23</v>
      </c>
      <c r="K10" s="2" t="s">
        <v>24</v>
      </c>
      <c r="L10" s="203" t="s">
        <v>25</v>
      </c>
      <c r="M10" s="120" t="s">
        <v>26</v>
      </c>
      <c r="N10" s="121"/>
      <c r="O10" s="121"/>
      <c r="P10" s="121"/>
      <c r="Q10" s="121"/>
      <c r="R10" s="122"/>
    </row>
    <row r="11" spans="1:18" ht="9.9499999999999993" customHeight="1">
      <c r="A11" s="21" t="s">
        <v>24</v>
      </c>
      <c r="B11" s="1" t="s">
        <v>27</v>
      </c>
      <c r="C11" s="1" t="s">
        <v>28</v>
      </c>
      <c r="D11" s="3" t="s">
        <v>29</v>
      </c>
      <c r="E11" s="126"/>
      <c r="F11" s="2" t="s">
        <v>28</v>
      </c>
      <c r="G11" s="5">
        <v>5</v>
      </c>
      <c r="H11" s="13">
        <v>6</v>
      </c>
      <c r="I11" s="13">
        <v>7</v>
      </c>
      <c r="J11" s="13">
        <v>8</v>
      </c>
      <c r="K11" s="15">
        <v>9</v>
      </c>
      <c r="L11" s="203"/>
      <c r="M11" s="121"/>
      <c r="N11" s="121"/>
      <c r="O11" s="121"/>
      <c r="P11" s="121"/>
      <c r="Q11" s="121"/>
      <c r="R11" s="122"/>
    </row>
    <row r="12" spans="1:18" ht="9.9499999999999993" customHeight="1">
      <c r="A12" s="21" t="s">
        <v>23</v>
      </c>
      <c r="B12" s="1" t="s">
        <v>30</v>
      </c>
      <c r="C12" s="1" t="s">
        <v>31</v>
      </c>
      <c r="D12" s="3" t="s">
        <v>32</v>
      </c>
      <c r="E12" s="126"/>
      <c r="F12" s="2" t="s">
        <v>31</v>
      </c>
      <c r="G12" s="6">
        <v>4</v>
      </c>
      <c r="H12" s="7">
        <v>5</v>
      </c>
      <c r="I12" s="14">
        <v>6</v>
      </c>
      <c r="J12" s="14">
        <v>7</v>
      </c>
      <c r="K12" s="16">
        <v>8</v>
      </c>
      <c r="L12" s="203" t="s">
        <v>33</v>
      </c>
      <c r="M12" s="123" t="s">
        <v>34</v>
      </c>
      <c r="N12" s="124"/>
      <c r="O12" s="124"/>
      <c r="P12" s="124"/>
      <c r="Q12" s="124"/>
      <c r="R12" s="125"/>
    </row>
    <row r="13" spans="1:18" ht="9.9499999999999993" customHeight="1">
      <c r="A13" s="21" t="s">
        <v>22</v>
      </c>
      <c r="B13" s="1" t="s">
        <v>35</v>
      </c>
      <c r="C13" s="1" t="s">
        <v>36</v>
      </c>
      <c r="D13" s="3" t="s">
        <v>37</v>
      </c>
      <c r="E13" s="126"/>
      <c r="F13" s="2" t="s">
        <v>36</v>
      </c>
      <c r="G13" s="9">
        <v>3</v>
      </c>
      <c r="H13" s="7">
        <v>4</v>
      </c>
      <c r="I13" s="7">
        <v>5</v>
      </c>
      <c r="J13" s="14">
        <v>6</v>
      </c>
      <c r="K13" s="16">
        <v>7</v>
      </c>
      <c r="L13" s="203"/>
      <c r="M13" s="124"/>
      <c r="N13" s="124"/>
      <c r="O13" s="124"/>
      <c r="P13" s="124"/>
      <c r="Q13" s="124"/>
      <c r="R13" s="125"/>
    </row>
    <row r="14" spans="1:18" ht="9.9499999999999993" customHeight="1">
      <c r="A14" s="21" t="s">
        <v>21</v>
      </c>
      <c r="B14" s="1" t="s">
        <v>38</v>
      </c>
      <c r="C14" s="1" t="s">
        <v>39</v>
      </c>
      <c r="D14" s="3" t="s">
        <v>40</v>
      </c>
      <c r="E14" s="126"/>
      <c r="F14" s="2" t="s">
        <v>39</v>
      </c>
      <c r="G14" s="9">
        <v>2</v>
      </c>
      <c r="H14" s="11">
        <v>3</v>
      </c>
      <c r="I14" s="7">
        <v>4</v>
      </c>
      <c r="J14" s="7">
        <v>5</v>
      </c>
      <c r="K14" s="16">
        <v>6</v>
      </c>
      <c r="L14" s="203" t="s">
        <v>41</v>
      </c>
      <c r="M14" s="128" t="s">
        <v>42</v>
      </c>
      <c r="N14" s="129"/>
      <c r="O14" s="129"/>
      <c r="P14" s="129"/>
      <c r="Q14" s="129"/>
      <c r="R14" s="130"/>
    </row>
    <row r="15" spans="1:18" ht="9.9499999999999993" customHeight="1" thickBot="1">
      <c r="A15" s="22" t="s">
        <v>20</v>
      </c>
      <c r="B15" s="23" t="s">
        <v>43</v>
      </c>
      <c r="C15" s="23" t="s">
        <v>44</v>
      </c>
      <c r="D15" s="4" t="s">
        <v>45</v>
      </c>
      <c r="E15" s="127"/>
      <c r="F15" s="20" t="s">
        <v>44</v>
      </c>
      <c r="G15" s="10">
        <v>1</v>
      </c>
      <c r="H15" s="12">
        <v>2</v>
      </c>
      <c r="I15" s="12">
        <v>3</v>
      </c>
      <c r="J15" s="8">
        <v>4</v>
      </c>
      <c r="K15" s="17">
        <v>5</v>
      </c>
      <c r="L15" s="212"/>
      <c r="M15" s="131"/>
      <c r="N15" s="131"/>
      <c r="O15" s="131"/>
      <c r="P15" s="131"/>
      <c r="Q15" s="131"/>
      <c r="R15" s="132"/>
    </row>
    <row r="16" spans="1:18" ht="11.1" customHeight="1" thickBot="1">
      <c r="A16" s="157" t="s">
        <v>46</v>
      </c>
      <c r="B16" s="158"/>
      <c r="C16" s="158"/>
      <c r="D16" s="158"/>
      <c r="E16" s="158"/>
      <c r="F16" s="158"/>
      <c r="G16" s="158"/>
      <c r="H16" s="158"/>
      <c r="I16" s="158"/>
      <c r="J16" s="158"/>
      <c r="K16" s="158"/>
      <c r="L16" s="158"/>
      <c r="M16" s="158"/>
      <c r="N16" s="158"/>
      <c r="O16" s="158"/>
      <c r="P16" s="158"/>
      <c r="Q16" s="158"/>
      <c r="R16" s="159"/>
    </row>
    <row r="17" spans="1:18" ht="11.45" customHeight="1">
      <c r="A17" s="116" t="s">
        <v>47</v>
      </c>
      <c r="B17" s="117"/>
      <c r="C17" s="117"/>
      <c r="D17" s="117" t="s">
        <v>48</v>
      </c>
      <c r="E17" s="117"/>
      <c r="F17" s="117"/>
      <c r="G17" s="117"/>
      <c r="H17" s="117"/>
      <c r="I17" s="117"/>
      <c r="J17" s="117"/>
      <c r="K17" s="117"/>
      <c r="L17" s="117" t="s">
        <v>49</v>
      </c>
      <c r="M17" s="117"/>
      <c r="N17" s="117"/>
      <c r="O17" s="117" t="s">
        <v>50</v>
      </c>
      <c r="P17" s="117"/>
      <c r="Q17" s="117"/>
      <c r="R17" s="211"/>
    </row>
    <row r="18" spans="1:18" ht="12.6" customHeight="1" thickBot="1">
      <c r="A18" s="118"/>
      <c r="B18" s="119"/>
      <c r="C18" s="119"/>
      <c r="D18" s="119" t="s">
        <v>51</v>
      </c>
      <c r="E18" s="119"/>
      <c r="F18" s="119"/>
      <c r="G18" s="119"/>
      <c r="H18" s="119"/>
      <c r="I18" s="112" t="s">
        <v>52</v>
      </c>
      <c r="J18" s="112" t="s">
        <v>53</v>
      </c>
      <c r="K18" s="24" t="s">
        <v>54</v>
      </c>
      <c r="L18" s="119"/>
      <c r="M18" s="119"/>
      <c r="N18" s="119"/>
      <c r="O18" s="25" t="s">
        <v>52</v>
      </c>
      <c r="P18" s="112" t="s">
        <v>53</v>
      </c>
      <c r="Q18" s="112" t="s">
        <v>55</v>
      </c>
      <c r="R18" s="26" t="s">
        <v>56</v>
      </c>
    </row>
    <row r="19" spans="1:18" ht="36.75" customHeight="1">
      <c r="A19" s="99">
        <v>1</v>
      </c>
      <c r="B19" s="152" t="s">
        <v>57</v>
      </c>
      <c r="C19" s="152"/>
      <c r="D19" s="160" t="s">
        <v>58</v>
      </c>
      <c r="E19" s="160"/>
      <c r="F19" s="160"/>
      <c r="G19" s="160"/>
      <c r="H19" s="160"/>
      <c r="I19" s="93">
        <v>3</v>
      </c>
      <c r="J19" s="93">
        <v>3</v>
      </c>
      <c r="K19" s="94">
        <v>5</v>
      </c>
      <c r="L19" s="160" t="s">
        <v>59</v>
      </c>
      <c r="M19" s="160"/>
      <c r="N19" s="160"/>
      <c r="O19" s="93">
        <v>2</v>
      </c>
      <c r="P19" s="93">
        <v>2</v>
      </c>
      <c r="Q19" s="94">
        <v>3</v>
      </c>
      <c r="R19" s="107" t="s">
        <v>60</v>
      </c>
    </row>
    <row r="20" spans="1:18" ht="27.75" customHeight="1">
      <c r="A20" s="99">
        <v>1</v>
      </c>
      <c r="B20" s="152" t="s">
        <v>57</v>
      </c>
      <c r="C20" s="152"/>
      <c r="D20" s="160" t="s">
        <v>58</v>
      </c>
      <c r="E20" s="160"/>
      <c r="F20" s="160"/>
      <c r="G20" s="160"/>
      <c r="H20" s="160"/>
      <c r="I20" s="93">
        <v>3</v>
      </c>
      <c r="J20" s="93">
        <v>3</v>
      </c>
      <c r="K20" s="94">
        <v>5</v>
      </c>
      <c r="L20" s="160" t="s">
        <v>61</v>
      </c>
      <c r="M20" s="160"/>
      <c r="N20" s="160"/>
      <c r="O20" s="93">
        <v>2</v>
      </c>
      <c r="P20" s="93">
        <v>2</v>
      </c>
      <c r="Q20" s="94">
        <v>3</v>
      </c>
      <c r="R20" s="107" t="s">
        <v>62</v>
      </c>
    </row>
    <row r="21" spans="1:18" ht="31.5" customHeight="1">
      <c r="A21" s="99">
        <v>1</v>
      </c>
      <c r="B21" s="152" t="s">
        <v>63</v>
      </c>
      <c r="C21" s="152"/>
      <c r="D21" s="160" t="s">
        <v>58</v>
      </c>
      <c r="E21" s="160"/>
      <c r="F21" s="160"/>
      <c r="G21" s="160"/>
      <c r="H21" s="160"/>
      <c r="I21" s="93">
        <v>3</v>
      </c>
      <c r="J21" s="93">
        <v>3</v>
      </c>
      <c r="K21" s="94">
        <v>5</v>
      </c>
      <c r="L21" s="160" t="s">
        <v>64</v>
      </c>
      <c r="M21" s="160"/>
      <c r="N21" s="160"/>
      <c r="O21" s="93">
        <v>2</v>
      </c>
      <c r="P21" s="93">
        <v>2</v>
      </c>
      <c r="Q21" s="94">
        <v>3</v>
      </c>
      <c r="R21" s="107" t="s">
        <v>65</v>
      </c>
    </row>
    <row r="22" spans="1:18" ht="24.75" customHeight="1">
      <c r="A22" s="99">
        <v>1</v>
      </c>
      <c r="B22" s="154" t="s">
        <v>66</v>
      </c>
      <c r="C22" s="156"/>
      <c r="D22" s="154" t="s">
        <v>58</v>
      </c>
      <c r="E22" s="155"/>
      <c r="F22" s="155"/>
      <c r="G22" s="155"/>
      <c r="H22" s="156"/>
      <c r="I22" s="104">
        <v>3</v>
      </c>
      <c r="J22" s="104">
        <v>3</v>
      </c>
      <c r="K22" s="105">
        <f t="shared" ref="K22" si="0">I22+J22-1</f>
        <v>5</v>
      </c>
      <c r="L22" s="160" t="s">
        <v>67</v>
      </c>
      <c r="M22" s="160"/>
      <c r="N22" s="160"/>
      <c r="O22" s="104">
        <v>1</v>
      </c>
      <c r="P22" s="104">
        <v>2</v>
      </c>
      <c r="Q22" s="105">
        <f t="shared" ref="Q22" si="1">O22+P22-1</f>
        <v>2</v>
      </c>
      <c r="R22" s="106" t="s">
        <v>68</v>
      </c>
    </row>
    <row r="23" spans="1:18" ht="43.5" customHeight="1">
      <c r="A23" s="103">
        <v>2</v>
      </c>
      <c r="B23" s="154" t="s">
        <v>66</v>
      </c>
      <c r="C23" s="156"/>
      <c r="D23" s="154" t="s">
        <v>58</v>
      </c>
      <c r="E23" s="155"/>
      <c r="F23" s="155"/>
      <c r="G23" s="155"/>
      <c r="H23" s="156"/>
      <c r="I23" s="104">
        <v>3</v>
      </c>
      <c r="J23" s="104">
        <v>3</v>
      </c>
      <c r="K23" s="105">
        <f t="shared" ref="K23:K28" si="2">I23+J23-1</f>
        <v>5</v>
      </c>
      <c r="L23" s="154" t="s">
        <v>69</v>
      </c>
      <c r="M23" s="155"/>
      <c r="N23" s="156"/>
      <c r="O23" s="104">
        <v>1</v>
      </c>
      <c r="P23" s="104">
        <v>2</v>
      </c>
      <c r="Q23" s="105">
        <f t="shared" ref="Q23:Q28" si="3">O23+P23-1</f>
        <v>2</v>
      </c>
      <c r="R23" s="106" t="s">
        <v>70</v>
      </c>
    </row>
    <row r="24" spans="1:18" ht="42.75" customHeight="1">
      <c r="A24" s="103"/>
      <c r="B24" s="154" t="s">
        <v>71</v>
      </c>
      <c r="C24" s="156"/>
      <c r="D24" s="153" t="s">
        <v>58</v>
      </c>
      <c r="E24" s="153"/>
      <c r="F24" s="153"/>
      <c r="G24" s="153"/>
      <c r="H24" s="153"/>
      <c r="I24" s="104">
        <v>1</v>
      </c>
      <c r="J24" s="104">
        <v>5</v>
      </c>
      <c r="K24" s="105">
        <f t="shared" ref="K24" si="4">I24+J24-1</f>
        <v>5</v>
      </c>
      <c r="L24" s="154" t="s">
        <v>72</v>
      </c>
      <c r="M24" s="155"/>
      <c r="N24" s="156"/>
      <c r="O24" s="104">
        <v>1</v>
      </c>
      <c r="P24" s="104">
        <v>1</v>
      </c>
      <c r="Q24" s="105">
        <f t="shared" ref="Q24" si="5">O24+P24-1</f>
        <v>1</v>
      </c>
      <c r="R24" s="106" t="s">
        <v>73</v>
      </c>
    </row>
    <row r="25" spans="1:18" ht="26.45" customHeight="1">
      <c r="A25" s="100">
        <v>3</v>
      </c>
      <c r="B25" s="154" t="s">
        <v>71</v>
      </c>
      <c r="C25" s="156"/>
      <c r="D25" s="153" t="s">
        <v>58</v>
      </c>
      <c r="E25" s="153"/>
      <c r="F25" s="153"/>
      <c r="G25" s="153"/>
      <c r="H25" s="153"/>
      <c r="I25" s="104">
        <v>1</v>
      </c>
      <c r="J25" s="104">
        <v>5</v>
      </c>
      <c r="K25" s="105">
        <f t="shared" si="2"/>
        <v>5</v>
      </c>
      <c r="L25" s="154" t="s">
        <v>74</v>
      </c>
      <c r="M25" s="155"/>
      <c r="N25" s="156"/>
      <c r="O25" s="104">
        <v>1</v>
      </c>
      <c r="P25" s="104">
        <v>1</v>
      </c>
      <c r="Q25" s="105">
        <f t="shared" si="3"/>
        <v>1</v>
      </c>
      <c r="R25" s="106" t="s">
        <v>75</v>
      </c>
    </row>
    <row r="26" spans="1:18" ht="61.5" customHeight="1">
      <c r="A26" s="103">
        <v>4</v>
      </c>
      <c r="B26" s="161" t="s">
        <v>76</v>
      </c>
      <c r="C26" s="152"/>
      <c r="D26" s="153" t="s">
        <v>58</v>
      </c>
      <c r="E26" s="153"/>
      <c r="F26" s="153"/>
      <c r="G26" s="153"/>
      <c r="H26" s="153"/>
      <c r="I26" s="104">
        <v>4</v>
      </c>
      <c r="J26" s="104">
        <v>3</v>
      </c>
      <c r="K26" s="105">
        <f t="shared" si="2"/>
        <v>6</v>
      </c>
      <c r="L26" s="154" t="s">
        <v>77</v>
      </c>
      <c r="M26" s="155"/>
      <c r="N26" s="156"/>
      <c r="O26" s="104">
        <v>2</v>
      </c>
      <c r="P26" s="104">
        <v>2</v>
      </c>
      <c r="Q26" s="105">
        <f t="shared" si="3"/>
        <v>3</v>
      </c>
      <c r="R26" s="110" t="s">
        <v>78</v>
      </c>
    </row>
    <row r="27" spans="1:18" ht="25.5" customHeight="1">
      <c r="A27" s="103">
        <v>5</v>
      </c>
      <c r="B27" s="152" t="s">
        <v>79</v>
      </c>
      <c r="C27" s="152"/>
      <c r="D27" s="153" t="s">
        <v>58</v>
      </c>
      <c r="E27" s="153"/>
      <c r="F27" s="153"/>
      <c r="G27" s="153"/>
      <c r="H27" s="153"/>
      <c r="I27" s="104">
        <v>4</v>
      </c>
      <c r="J27" s="104">
        <v>2</v>
      </c>
      <c r="K27" s="105">
        <f t="shared" si="2"/>
        <v>5</v>
      </c>
      <c r="L27" s="154" t="s">
        <v>80</v>
      </c>
      <c r="M27" s="155"/>
      <c r="N27" s="156"/>
      <c r="O27" s="104">
        <v>1</v>
      </c>
      <c r="P27" s="104">
        <v>1</v>
      </c>
      <c r="Q27" s="105">
        <f t="shared" si="3"/>
        <v>1</v>
      </c>
      <c r="R27" s="111" t="s">
        <v>81</v>
      </c>
    </row>
    <row r="28" spans="1:18" ht="265.5" customHeight="1" thickBot="1">
      <c r="A28" s="100">
        <v>6</v>
      </c>
      <c r="B28" s="152" t="s">
        <v>82</v>
      </c>
      <c r="C28" s="152"/>
      <c r="D28" s="153" t="s">
        <v>83</v>
      </c>
      <c r="E28" s="153"/>
      <c r="F28" s="153"/>
      <c r="G28" s="153"/>
      <c r="H28" s="153"/>
      <c r="I28" s="104">
        <v>4</v>
      </c>
      <c r="J28" s="104">
        <v>3</v>
      </c>
      <c r="K28" s="105">
        <f t="shared" si="2"/>
        <v>6</v>
      </c>
      <c r="L28" s="154" t="s">
        <v>84</v>
      </c>
      <c r="M28" s="155"/>
      <c r="N28" s="156"/>
      <c r="O28" s="104">
        <v>2</v>
      </c>
      <c r="P28" s="104">
        <v>2</v>
      </c>
      <c r="Q28" s="105">
        <f t="shared" si="3"/>
        <v>3</v>
      </c>
      <c r="R28" s="110" t="s">
        <v>85</v>
      </c>
    </row>
    <row r="29" spans="1:18" ht="10.5" customHeight="1">
      <c r="A29" s="139" t="s">
        <v>86</v>
      </c>
      <c r="B29" s="140"/>
      <c r="C29" s="140"/>
      <c r="D29" s="140"/>
      <c r="E29" s="140"/>
      <c r="F29" s="140"/>
      <c r="G29" s="140"/>
      <c r="H29" s="140"/>
      <c r="I29" s="140"/>
      <c r="J29" s="140"/>
      <c r="K29" s="140"/>
      <c r="L29" s="140"/>
      <c r="M29" s="140"/>
      <c r="N29" s="140"/>
      <c r="O29" s="140"/>
      <c r="P29" s="140"/>
      <c r="Q29" s="140"/>
      <c r="R29" s="141"/>
    </row>
    <row r="30" spans="1:18" ht="10.35" customHeight="1">
      <c r="A30" s="142" t="s">
        <v>87</v>
      </c>
      <c r="B30" s="143"/>
      <c r="C30" s="143"/>
      <c r="D30" s="143"/>
      <c r="E30" s="143"/>
      <c r="F30" s="143"/>
      <c r="G30" s="143"/>
      <c r="H30" s="143"/>
      <c r="I30" s="143"/>
      <c r="J30" s="143"/>
      <c r="K30" s="143"/>
      <c r="L30" s="143"/>
      <c r="M30" s="143"/>
      <c r="N30" s="143"/>
      <c r="O30" s="143"/>
      <c r="P30" s="143"/>
      <c r="Q30" s="143"/>
      <c r="R30" s="144"/>
    </row>
    <row r="31" spans="1:18" ht="20.45" customHeight="1" thickBot="1">
      <c r="A31" s="145"/>
      <c r="B31" s="146"/>
      <c r="C31" s="146"/>
      <c r="D31" s="146"/>
      <c r="E31" s="146"/>
      <c r="F31" s="146"/>
      <c r="G31" s="146"/>
      <c r="H31" s="146"/>
      <c r="I31" s="146"/>
      <c r="J31" s="146"/>
      <c r="K31" s="146"/>
      <c r="L31" s="146"/>
      <c r="M31" s="146"/>
      <c r="N31" s="146"/>
      <c r="O31" s="146"/>
      <c r="P31" s="146"/>
      <c r="Q31" s="146"/>
      <c r="R31" s="147"/>
    </row>
    <row r="32" spans="1:18" ht="12.6" customHeight="1" thickBot="1">
      <c r="A32" s="133" t="s">
        <v>88</v>
      </c>
      <c r="B32" s="134"/>
      <c r="C32" s="135"/>
      <c r="D32" s="97" t="s">
        <v>89</v>
      </c>
      <c r="E32" s="148" t="s">
        <v>90</v>
      </c>
      <c r="F32" s="148"/>
      <c r="G32" s="148"/>
      <c r="H32" s="148"/>
      <c r="I32" s="148"/>
      <c r="J32" s="148"/>
      <c r="K32" s="149"/>
      <c r="L32" s="95" t="s">
        <v>91</v>
      </c>
      <c r="M32" s="148" t="s">
        <v>90</v>
      </c>
      <c r="N32" s="148"/>
      <c r="O32" s="148"/>
      <c r="P32" s="148"/>
      <c r="Q32" s="149"/>
      <c r="R32" s="101" t="s">
        <v>92</v>
      </c>
    </row>
    <row r="33" spans="1:18" ht="12" customHeight="1" thickBot="1">
      <c r="A33" s="136" t="s">
        <v>93</v>
      </c>
      <c r="B33" s="137"/>
      <c r="C33" s="138"/>
      <c r="D33" s="96" t="s">
        <v>89</v>
      </c>
      <c r="E33" s="150" t="s">
        <v>94</v>
      </c>
      <c r="F33" s="150"/>
      <c r="G33" s="150"/>
      <c r="H33" s="150"/>
      <c r="I33" s="150"/>
      <c r="J33" s="150"/>
      <c r="K33" s="151"/>
      <c r="L33" s="96" t="s">
        <v>91</v>
      </c>
      <c r="M33" s="150" t="s">
        <v>94</v>
      </c>
      <c r="N33" s="150"/>
      <c r="O33" s="150"/>
      <c r="P33" s="150"/>
      <c r="Q33" s="151"/>
      <c r="R33" s="114" t="s">
        <v>92</v>
      </c>
    </row>
    <row r="46" spans="1:18" ht="48" hidden="1" customHeight="1"/>
    <row r="47" spans="1:18" ht="57" hidden="1" customHeight="1"/>
    <row r="48" spans="1:18" ht="34.5" hidden="1" customHeight="1"/>
  </sheetData>
  <mergeCells count="69">
    <mergeCell ref="B22:C22"/>
    <mergeCell ref="D22:H22"/>
    <mergeCell ref="L22:N22"/>
    <mergeCell ref="B24:C24"/>
    <mergeCell ref="D24:H24"/>
    <mergeCell ref="L24:N24"/>
    <mergeCell ref="B21:C21"/>
    <mergeCell ref="D21:H21"/>
    <mergeCell ref="B20:C20"/>
    <mergeCell ref="D20:H20"/>
    <mergeCell ref="L20:N20"/>
    <mergeCell ref="D2:K3"/>
    <mergeCell ref="G5:M5"/>
    <mergeCell ref="N5:Q5"/>
    <mergeCell ref="D27:H27"/>
    <mergeCell ref="L26:N26"/>
    <mergeCell ref="L27:N27"/>
    <mergeCell ref="D18:H18"/>
    <mergeCell ref="L19:N19"/>
    <mergeCell ref="O17:R17"/>
    <mergeCell ref="L12:L13"/>
    <mergeCell ref="L14:L15"/>
    <mergeCell ref="L17:N18"/>
    <mergeCell ref="L21:N21"/>
    <mergeCell ref="A1:C3"/>
    <mergeCell ref="A9:B10"/>
    <mergeCell ref="C9:D10"/>
    <mergeCell ref="A5:F5"/>
    <mergeCell ref="M9:R9"/>
    <mergeCell ref="A8:R8"/>
    <mergeCell ref="A6:F6"/>
    <mergeCell ref="G6:M6"/>
    <mergeCell ref="N6:Q6"/>
    <mergeCell ref="A4:R4"/>
    <mergeCell ref="N3:Q3"/>
    <mergeCell ref="L1:R2"/>
    <mergeCell ref="D1:K1"/>
    <mergeCell ref="A7:R7"/>
    <mergeCell ref="F9:K9"/>
    <mergeCell ref="L10:L11"/>
    <mergeCell ref="B28:C28"/>
    <mergeCell ref="D28:H28"/>
    <mergeCell ref="L28:N28"/>
    <mergeCell ref="A16:R16"/>
    <mergeCell ref="D25:H25"/>
    <mergeCell ref="L23:N23"/>
    <mergeCell ref="D17:K17"/>
    <mergeCell ref="L25:N25"/>
    <mergeCell ref="D23:H23"/>
    <mergeCell ref="D19:H19"/>
    <mergeCell ref="B19:C19"/>
    <mergeCell ref="B23:C23"/>
    <mergeCell ref="B25:C25"/>
    <mergeCell ref="B26:C26"/>
    <mergeCell ref="B27:C27"/>
    <mergeCell ref="D26:H26"/>
    <mergeCell ref="A32:C32"/>
    <mergeCell ref="A33:C33"/>
    <mergeCell ref="A29:R29"/>
    <mergeCell ref="A30:R31"/>
    <mergeCell ref="E32:K32"/>
    <mergeCell ref="E33:K33"/>
    <mergeCell ref="M32:Q32"/>
    <mergeCell ref="M33:Q33"/>
    <mergeCell ref="A17:C18"/>
    <mergeCell ref="M10:R11"/>
    <mergeCell ref="M12:R13"/>
    <mergeCell ref="E10:E15"/>
    <mergeCell ref="M14:R15"/>
  </mergeCells>
  <phoneticPr fontId="27" type="noConversion"/>
  <conditionalFormatting sqref="Q19 K19 K23 Q23 Q25:Q28 K25:K28">
    <cfRule type="cellIs" dxfId="20" priority="46" operator="greaterThan">
      <formula>5.91</formula>
    </cfRule>
    <cfRule type="cellIs" dxfId="19" priority="47" operator="between">
      <formula>3.5</formula>
      <formula>5.9</formula>
    </cfRule>
    <cfRule type="cellIs" dxfId="18" priority="48" operator="between">
      <formula>0.9</formula>
      <formula>3.49</formula>
    </cfRule>
  </conditionalFormatting>
  <conditionalFormatting sqref="Q21 K21">
    <cfRule type="cellIs" dxfId="17" priority="10" operator="greaterThan">
      <formula>5.91</formula>
    </cfRule>
    <cfRule type="cellIs" dxfId="16" priority="11" operator="between">
      <formula>3.5</formula>
      <formula>5.9</formula>
    </cfRule>
    <cfRule type="cellIs" dxfId="15" priority="12" operator="between">
      <formula>0.9</formula>
      <formula>3.49</formula>
    </cfRule>
  </conditionalFormatting>
  <conditionalFormatting sqref="Q20 K20">
    <cfRule type="cellIs" dxfId="14" priority="7" operator="greaterThan">
      <formula>5.91</formula>
    </cfRule>
    <cfRule type="cellIs" dxfId="13" priority="8" operator="between">
      <formula>3.5</formula>
      <formula>5.9</formula>
    </cfRule>
    <cfRule type="cellIs" dxfId="12" priority="9" operator="between">
      <formula>0.9</formula>
      <formula>3.49</formula>
    </cfRule>
  </conditionalFormatting>
  <conditionalFormatting sqref="K22 Q22">
    <cfRule type="cellIs" dxfId="11" priority="4" operator="greaterThan">
      <formula>5.91</formula>
    </cfRule>
    <cfRule type="cellIs" dxfId="10" priority="5" operator="between">
      <formula>3.5</formula>
      <formula>5.9</formula>
    </cfRule>
    <cfRule type="cellIs" dxfId="9" priority="6" operator="between">
      <formula>0.9</formula>
      <formula>3.49</formula>
    </cfRule>
  </conditionalFormatting>
  <conditionalFormatting sqref="Q24 K24">
    <cfRule type="cellIs" dxfId="8" priority="1" operator="greaterThan">
      <formula>5.91</formula>
    </cfRule>
    <cfRule type="cellIs" dxfId="7" priority="2" operator="between">
      <formula>3.5</formula>
      <formula>5.9</formula>
    </cfRule>
    <cfRule type="cellIs" dxfId="6" priority="3" operator="between">
      <formula>0.9</formula>
      <formula>3.49</formula>
    </cfRule>
  </conditionalFormatting>
  <pageMargins left="0.23622047244094491" right="0.23622047244094491" top="0.23622047244094491" bottom="0.15748031496062992"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0</xdr:colOff>
                    <xdr:row>7</xdr:row>
                    <xdr:rowOff>9525</xdr:rowOff>
                  </from>
                  <to>
                    <xdr:col>2</xdr:col>
                    <xdr:colOff>171450</xdr:colOff>
                    <xdr:row>7</xdr:row>
                    <xdr:rowOff>171450</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2</xdr:col>
                    <xdr:colOff>200025</xdr:colOff>
                    <xdr:row>7</xdr:row>
                    <xdr:rowOff>19050</xdr:rowOff>
                  </from>
                  <to>
                    <xdr:col>6</xdr:col>
                    <xdr:colOff>19050</xdr:colOff>
                    <xdr:row>8</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4</xdr:col>
                    <xdr:colOff>190500</xdr:colOff>
                    <xdr:row>7</xdr:row>
                    <xdr:rowOff>19050</xdr:rowOff>
                  </from>
                  <to>
                    <xdr:col>11</xdr:col>
                    <xdr:colOff>0</xdr:colOff>
                    <xdr:row>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8</xdr:col>
                    <xdr:colOff>180975</xdr:colOff>
                    <xdr:row>7</xdr:row>
                    <xdr:rowOff>9525</xdr:rowOff>
                  </from>
                  <to>
                    <xdr:col>12</xdr:col>
                    <xdr:colOff>114300</xdr:colOff>
                    <xdr:row>7</xdr:row>
                    <xdr:rowOff>171450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390525</xdr:colOff>
                    <xdr:row>7</xdr:row>
                    <xdr:rowOff>19050</xdr:rowOff>
                  </from>
                  <to>
                    <xdr:col>13</xdr:col>
                    <xdr:colOff>152400</xdr:colOff>
                    <xdr:row>8</xdr:row>
                    <xdr:rowOff>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447675</xdr:colOff>
                    <xdr:row>7</xdr:row>
                    <xdr:rowOff>19050</xdr:rowOff>
                  </from>
                  <to>
                    <xdr:col>17</xdr:col>
                    <xdr:colOff>95250</xdr:colOff>
                    <xdr:row>8</xdr:row>
                    <xdr:rowOff>0</xdr:rowOff>
                  </to>
                </anchor>
              </controlPr>
            </control>
          </mc:Choice>
        </mc:AlternateContent>
        <mc:AlternateContent xmlns:mc="http://schemas.openxmlformats.org/markup-compatibility/2006">
          <mc:Choice Requires="x14">
            <control shapeId="1034" r:id="rId10" name="Check Box 10">
              <controlPr defaultSize="0" autoFill="0" autoLine="0" autoPict="0">
                <anchor moveWithCells="1">
                  <from>
                    <xdr:col>15</xdr:col>
                    <xdr:colOff>28575</xdr:colOff>
                    <xdr:row>7</xdr:row>
                    <xdr:rowOff>9525</xdr:rowOff>
                  </from>
                  <to>
                    <xdr:col>17</xdr:col>
                    <xdr:colOff>3876675</xdr:colOff>
                    <xdr:row>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O19:P28 I19:J28</xm:sqref>
        </x14:dataValidation>
        <x14:dataValidation type="list" allowBlank="1" showInputMessage="1" showErrorMessage="1" xr:uid="{2B576B72-18D6-42D4-AFAF-B2B991D875ED}">
          <x14:formula1>
            <xm:f>Hazard_Defense_Code!$A$3:$A$21</xm:f>
          </x14:formula1>
          <xm:sqref>D19:H28</xm:sqref>
        </x14:dataValidation>
        <x14:dataValidation type="list" allowBlank="1" showInputMessage="1" showErrorMessage="1" xr:uid="{B0B48B57-F947-40D0-BCE1-31149FC1BBA5}">
          <x14:formula1>
            <xm:f>Hazard_Defense_Code!$A$27:$A$72</xm:f>
          </x14:formula1>
          <xm:sqref>L19:N28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B6" sqref="B6:B9"/>
    </sheetView>
  </sheetViews>
  <sheetFormatPr defaultColWidth="0" defaultRowHeight="15" zeroHeight="1"/>
  <cols>
    <col min="1" max="1" width="3.5703125" style="29" customWidth="1"/>
    <col min="2" max="2" width="14.140625" style="29" customWidth="1"/>
    <col min="3" max="3" width="14.7109375" style="29" customWidth="1"/>
    <col min="4" max="4" width="15" style="29" customWidth="1"/>
    <col min="5" max="5" width="14.5703125" style="29" customWidth="1"/>
    <col min="6" max="6" width="14.42578125" style="29" customWidth="1"/>
    <col min="7" max="7" width="13.28515625" style="29" customWidth="1"/>
    <col min="8" max="8" width="3" style="29" customWidth="1"/>
    <col min="9" max="9" width="12.28515625" style="29" customWidth="1"/>
    <col min="10" max="10" width="22.85546875" style="29" customWidth="1"/>
    <col min="11" max="11" width="51.28515625" style="29" customWidth="1"/>
    <col min="12" max="12" width="56.28515625" style="29" customWidth="1"/>
    <col min="13" max="13" width="3.140625" style="29" customWidth="1"/>
    <col min="14" max="16" width="0" style="29" hidden="1" customWidth="1"/>
    <col min="17" max="16384" width="8" style="29" hidden="1"/>
  </cols>
  <sheetData>
    <row r="1" spans="1:13" ht="7.5" customHeight="1">
      <c r="A1" s="30"/>
      <c r="B1" s="30"/>
      <c r="C1" s="30"/>
      <c r="D1" s="30"/>
      <c r="E1" s="30"/>
      <c r="F1" s="30"/>
      <c r="G1" s="30"/>
      <c r="H1" s="30"/>
      <c r="I1" s="30"/>
      <c r="J1" s="30"/>
      <c r="K1" s="30"/>
      <c r="L1" s="30"/>
    </row>
    <row r="2" spans="1:13" ht="15" customHeight="1">
      <c r="A2" s="30"/>
      <c r="B2" s="30"/>
      <c r="C2" s="213" t="s">
        <v>95</v>
      </c>
      <c r="D2" s="214"/>
      <c r="E2" s="214"/>
      <c r="F2" s="214"/>
      <c r="G2" s="215"/>
      <c r="H2" s="30"/>
      <c r="I2" s="30"/>
      <c r="J2" s="30"/>
      <c r="K2" s="30"/>
      <c r="L2" s="30"/>
      <c r="M2" s="30"/>
    </row>
    <row r="3" spans="1:13" ht="21.75" customHeight="1">
      <c r="A3" s="30"/>
      <c r="B3" s="222" t="s">
        <v>96</v>
      </c>
      <c r="C3" s="227" t="s">
        <v>97</v>
      </c>
      <c r="D3" s="230" t="s">
        <v>98</v>
      </c>
      <c r="E3" s="231"/>
      <c r="F3" s="228" t="s">
        <v>99</v>
      </c>
      <c r="G3" s="227" t="s">
        <v>100</v>
      </c>
      <c r="H3" s="30"/>
      <c r="I3" s="218" t="s">
        <v>101</v>
      </c>
      <c r="J3" s="219"/>
      <c r="K3" s="216" t="s">
        <v>102</v>
      </c>
      <c r="L3" s="216" t="s">
        <v>103</v>
      </c>
      <c r="M3" s="30"/>
    </row>
    <row r="4" spans="1:13" ht="15.75" customHeight="1">
      <c r="A4" s="30"/>
      <c r="B4" s="223"/>
      <c r="C4" s="227"/>
      <c r="D4" s="232"/>
      <c r="E4" s="233"/>
      <c r="F4" s="229"/>
      <c r="G4" s="227"/>
      <c r="H4" s="30"/>
      <c r="I4" s="220"/>
      <c r="J4" s="221"/>
      <c r="K4" s="217"/>
      <c r="L4" s="217"/>
      <c r="M4" s="30"/>
    </row>
    <row r="5" spans="1:13" ht="52.5" customHeight="1">
      <c r="A5" s="30"/>
      <c r="B5" s="224"/>
      <c r="C5" s="37" t="s">
        <v>104</v>
      </c>
      <c r="D5" s="37" t="s">
        <v>105</v>
      </c>
      <c r="E5" s="37" t="s">
        <v>106</v>
      </c>
      <c r="F5" s="37" t="s">
        <v>107</v>
      </c>
      <c r="G5" s="37" t="s">
        <v>108</v>
      </c>
      <c r="H5" s="30"/>
      <c r="I5" s="48" t="s">
        <v>109</v>
      </c>
      <c r="J5" s="47" t="s">
        <v>110</v>
      </c>
      <c r="K5" s="46" t="s">
        <v>111</v>
      </c>
      <c r="L5" s="46" t="s">
        <v>112</v>
      </c>
      <c r="M5" s="30"/>
    </row>
    <row r="6" spans="1:13" ht="59.25" customHeight="1">
      <c r="A6" s="30"/>
      <c r="B6" s="37" t="s">
        <v>113</v>
      </c>
      <c r="C6" s="35">
        <v>5</v>
      </c>
      <c r="D6" s="39">
        <v>6</v>
      </c>
      <c r="E6" s="39">
        <v>7</v>
      </c>
      <c r="F6" s="39">
        <v>8</v>
      </c>
      <c r="G6" s="39">
        <v>9</v>
      </c>
      <c r="H6" s="30"/>
      <c r="I6" s="45" t="s">
        <v>114</v>
      </c>
      <c r="J6" s="44" t="s">
        <v>115</v>
      </c>
      <c r="K6" s="41" t="s">
        <v>116</v>
      </c>
      <c r="L6" s="40" t="s">
        <v>117</v>
      </c>
      <c r="M6" s="30"/>
    </row>
    <row r="7" spans="1:13" ht="59.25" customHeight="1">
      <c r="A7" s="30"/>
      <c r="B7" s="37" t="s">
        <v>118</v>
      </c>
      <c r="C7" s="35">
        <v>4</v>
      </c>
      <c r="D7" s="35">
        <v>5</v>
      </c>
      <c r="E7" s="39">
        <v>6</v>
      </c>
      <c r="F7" s="39">
        <v>7</v>
      </c>
      <c r="G7" s="39">
        <v>8</v>
      </c>
      <c r="H7" s="30"/>
      <c r="I7" s="43" t="s">
        <v>119</v>
      </c>
      <c r="J7" s="42" t="s">
        <v>120</v>
      </c>
      <c r="K7" s="41" t="s">
        <v>121</v>
      </c>
      <c r="L7" s="40" t="s">
        <v>122</v>
      </c>
      <c r="M7" s="30"/>
    </row>
    <row r="8" spans="1:13" ht="59.25" customHeight="1">
      <c r="A8" s="30"/>
      <c r="B8" s="37" t="s">
        <v>123</v>
      </c>
      <c r="C8" s="36">
        <v>3</v>
      </c>
      <c r="D8" s="35">
        <v>4</v>
      </c>
      <c r="E8" s="35">
        <v>5</v>
      </c>
      <c r="F8" s="39">
        <v>6</v>
      </c>
      <c r="G8" s="39">
        <v>7</v>
      </c>
      <c r="H8" s="30"/>
      <c r="I8" s="226" t="s">
        <v>124</v>
      </c>
      <c r="J8" s="226"/>
      <c r="K8" s="226"/>
      <c r="L8" s="30"/>
      <c r="M8" s="30"/>
    </row>
    <row r="9" spans="1:13" ht="59.25" customHeight="1">
      <c r="A9" s="30"/>
      <c r="B9" s="37" t="s">
        <v>125</v>
      </c>
      <c r="C9" s="36">
        <v>2</v>
      </c>
      <c r="D9" s="36">
        <v>3</v>
      </c>
      <c r="E9" s="35">
        <v>4</v>
      </c>
      <c r="F9" s="35">
        <v>5</v>
      </c>
      <c r="G9" s="39">
        <v>6</v>
      </c>
      <c r="H9" s="30"/>
      <c r="I9" s="225"/>
      <c r="J9" s="30"/>
      <c r="K9" s="30"/>
      <c r="L9" s="38"/>
      <c r="M9" s="30"/>
    </row>
    <row r="10" spans="1:13" ht="59.25" customHeight="1">
      <c r="A10" s="30"/>
      <c r="B10" s="37" t="s">
        <v>126</v>
      </c>
      <c r="C10" s="36">
        <v>1</v>
      </c>
      <c r="D10" s="36">
        <v>2</v>
      </c>
      <c r="E10" s="36">
        <v>3</v>
      </c>
      <c r="F10" s="35">
        <v>4</v>
      </c>
      <c r="G10" s="35">
        <v>5</v>
      </c>
      <c r="H10" s="30"/>
      <c r="I10" s="225"/>
      <c r="J10" s="34"/>
      <c r="K10" s="34"/>
      <c r="L10" s="34"/>
      <c r="M10" s="30"/>
    </row>
    <row r="11" spans="1:13" ht="12.75" customHeight="1">
      <c r="A11" s="30"/>
      <c r="B11" s="33"/>
      <c r="C11" s="33"/>
      <c r="D11" s="33"/>
      <c r="E11" s="33"/>
      <c r="F11" s="33"/>
      <c r="G11" s="33"/>
      <c r="H11" s="30"/>
      <c r="I11" s="32"/>
      <c r="J11" s="30"/>
      <c r="K11" s="30"/>
      <c r="L11" s="30"/>
      <c r="M11" s="30"/>
    </row>
    <row r="12" spans="1:13" ht="59.25" hidden="1" customHeight="1">
      <c r="A12" s="30"/>
      <c r="B12" s="31"/>
      <c r="C12" s="31"/>
      <c r="D12" s="31"/>
      <c r="E12" s="31"/>
      <c r="F12" s="31"/>
      <c r="G12" s="31"/>
    </row>
    <row r="13" spans="1:13" ht="57" hidden="1" customHeight="1">
      <c r="A13" s="30"/>
    </row>
    <row r="14" spans="1:13" ht="51" hidden="1" customHeight="1"/>
    <row r="15" spans="1:13" ht="51" hidden="1" customHeight="1"/>
    <row r="16" spans="1:13" ht="57.75" hidden="1" customHeight="1"/>
    <row r="17" spans="1:13" ht="51" hidden="1" customHeight="1"/>
    <row r="18" spans="1:13" ht="51" hidden="1" customHeight="1"/>
    <row r="19" spans="1:13" hidden="1">
      <c r="A19" s="30"/>
      <c r="B19" s="30"/>
      <c r="C19" s="30"/>
      <c r="D19" s="30"/>
      <c r="E19" s="30"/>
      <c r="F19" s="30"/>
      <c r="G19" s="30"/>
      <c r="H19" s="30"/>
      <c r="I19" s="30"/>
      <c r="J19" s="30"/>
      <c r="K19" s="30"/>
      <c r="L19" s="30"/>
      <c r="M19" s="30"/>
    </row>
    <row r="20" spans="1:13" hidden="1">
      <c r="A20" s="30"/>
      <c r="B20" s="30"/>
      <c r="C20" s="30"/>
      <c r="D20" s="30"/>
      <c r="E20" s="30"/>
      <c r="F20" s="30"/>
      <c r="G20" s="30"/>
      <c r="H20" s="30"/>
      <c r="I20" s="30"/>
      <c r="J20" s="30"/>
      <c r="K20" s="30"/>
      <c r="L20" s="30"/>
      <c r="M20" s="30"/>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C4" sqref="C4"/>
    </sheetView>
  </sheetViews>
  <sheetFormatPr defaultColWidth="0" defaultRowHeight="15" zeroHeight="1"/>
  <cols>
    <col min="1" max="1" width="1.42578125" style="29" customWidth="1"/>
    <col min="2" max="2" width="9.140625" style="29" customWidth="1"/>
    <col min="3" max="3" width="11.85546875" style="29" customWidth="1"/>
    <col min="4" max="4" width="42.7109375" style="29" customWidth="1"/>
    <col min="5" max="5" width="47.140625" style="29" customWidth="1"/>
    <col min="6" max="6" width="56.7109375" style="29" customWidth="1"/>
    <col min="7" max="7" width="41.7109375" style="29" customWidth="1"/>
    <col min="8" max="8" width="43.7109375" style="29" customWidth="1"/>
    <col min="9" max="9" width="1.42578125" style="30" customWidth="1"/>
    <col min="10" max="16384" width="8" style="29" hidden="1"/>
  </cols>
  <sheetData>
    <row r="1" spans="1:8" ht="6" customHeight="1">
      <c r="A1" s="30"/>
      <c r="B1" s="30"/>
    </row>
    <row r="2" spans="1:8" ht="43.5" customHeight="1">
      <c r="A2" s="30"/>
      <c r="B2" s="81" t="s">
        <v>127</v>
      </c>
      <c r="C2" s="80" t="s">
        <v>128</v>
      </c>
      <c r="D2" s="79" t="s">
        <v>129</v>
      </c>
      <c r="E2" s="79" t="s">
        <v>130</v>
      </c>
      <c r="F2" s="79" t="s">
        <v>131</v>
      </c>
      <c r="G2" s="79" t="s">
        <v>132</v>
      </c>
      <c r="H2" s="79" t="s">
        <v>133</v>
      </c>
    </row>
    <row r="3" spans="1:8" ht="108.75" customHeight="1">
      <c r="A3" s="30"/>
      <c r="B3" s="75" t="s">
        <v>134</v>
      </c>
      <c r="C3" s="74" t="s">
        <v>24</v>
      </c>
      <c r="D3" s="73" t="s">
        <v>135</v>
      </c>
      <c r="E3" s="78" t="s">
        <v>136</v>
      </c>
      <c r="F3" s="73" t="s">
        <v>137</v>
      </c>
      <c r="G3" s="73" t="s">
        <v>138</v>
      </c>
      <c r="H3" s="73" t="s">
        <v>139</v>
      </c>
    </row>
    <row r="4" spans="1:8" ht="119.25" customHeight="1">
      <c r="A4" s="30"/>
      <c r="B4" s="75" t="s">
        <v>99</v>
      </c>
      <c r="C4" s="74" t="s">
        <v>23</v>
      </c>
      <c r="D4" s="73" t="s">
        <v>140</v>
      </c>
      <c r="E4" s="73" t="s">
        <v>141</v>
      </c>
      <c r="F4" s="73" t="s">
        <v>142</v>
      </c>
      <c r="G4" s="73" t="s">
        <v>143</v>
      </c>
      <c r="H4" s="73" t="s">
        <v>144</v>
      </c>
    </row>
    <row r="5" spans="1:8" ht="119.25" customHeight="1">
      <c r="A5" s="30"/>
      <c r="B5" s="228" t="s">
        <v>145</v>
      </c>
      <c r="C5" s="76" t="s">
        <v>22</v>
      </c>
      <c r="D5" s="73" t="s">
        <v>146</v>
      </c>
      <c r="E5" s="73" t="s">
        <v>147</v>
      </c>
      <c r="F5" s="77" t="s">
        <v>148</v>
      </c>
      <c r="G5" s="73" t="s">
        <v>149</v>
      </c>
      <c r="H5" s="73" t="s">
        <v>150</v>
      </c>
    </row>
    <row r="6" spans="1:8" ht="107.25" customHeight="1">
      <c r="A6" s="30"/>
      <c r="B6" s="229"/>
      <c r="C6" s="76" t="s">
        <v>21</v>
      </c>
      <c r="D6" s="73" t="s">
        <v>151</v>
      </c>
      <c r="E6" s="73" t="s">
        <v>152</v>
      </c>
      <c r="F6" s="73" t="s">
        <v>153</v>
      </c>
      <c r="G6" s="73" t="s">
        <v>154</v>
      </c>
      <c r="H6" s="73" t="s">
        <v>155</v>
      </c>
    </row>
    <row r="7" spans="1:8" ht="108" customHeight="1">
      <c r="A7" s="30"/>
      <c r="B7" s="75" t="s">
        <v>156</v>
      </c>
      <c r="C7" s="74" t="s">
        <v>20</v>
      </c>
      <c r="D7" s="73" t="s">
        <v>157</v>
      </c>
      <c r="E7" s="73" t="s">
        <v>158</v>
      </c>
      <c r="F7" s="73" t="s">
        <v>159</v>
      </c>
      <c r="G7" s="73" t="s">
        <v>160</v>
      </c>
      <c r="H7" s="73" t="s">
        <v>161</v>
      </c>
    </row>
    <row r="8" spans="1:8" ht="9.75" customHeight="1">
      <c r="A8" s="30"/>
      <c r="B8" s="30"/>
      <c r="C8" s="30"/>
      <c r="D8" s="30"/>
      <c r="E8" s="30"/>
      <c r="F8" s="30"/>
      <c r="G8" s="30"/>
      <c r="H8" s="30"/>
    </row>
    <row r="9" spans="1:8" hidden="1">
      <c r="C9" s="30"/>
      <c r="D9" s="30"/>
      <c r="E9" s="30"/>
      <c r="F9" s="30"/>
      <c r="G9" s="30"/>
      <c r="H9" s="30"/>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50" zoomScaleNormal="150" workbookViewId="0">
      <selection activeCell="B13" sqref="B13"/>
    </sheetView>
  </sheetViews>
  <sheetFormatPr defaultColWidth="0" defaultRowHeight="15"/>
  <cols>
    <col min="1" max="1" width="21.5703125" style="49" customWidth="1"/>
    <col min="2" max="2" width="26.85546875" style="49" customWidth="1"/>
    <col min="3" max="3" width="24.85546875" style="49" customWidth="1"/>
    <col min="4" max="4" width="28.5703125" style="49" customWidth="1"/>
    <col min="5" max="5" width="27" style="49" customWidth="1"/>
    <col min="6" max="6" width="5.5703125" style="50" customWidth="1"/>
    <col min="7" max="16384" width="8" style="49" hidden="1"/>
  </cols>
  <sheetData>
    <row r="1" spans="1:5" ht="15.75" thickBot="1">
      <c r="A1" s="57" t="s">
        <v>162</v>
      </c>
    </row>
    <row r="2" spans="1:5" ht="15.75" thickBot="1">
      <c r="A2" s="69"/>
      <c r="B2" s="72" t="s">
        <v>163</v>
      </c>
      <c r="C2" s="71" t="s">
        <v>14</v>
      </c>
      <c r="D2" s="70" t="s">
        <v>15</v>
      </c>
      <c r="E2" s="69" t="s">
        <v>164</v>
      </c>
    </row>
    <row r="3" spans="1:5" ht="15.75" thickBot="1">
      <c r="A3" s="68" t="s">
        <v>165</v>
      </c>
      <c r="B3" s="65" t="s">
        <v>166</v>
      </c>
      <c r="C3" s="61" t="e">
        <f>VLOOKUP(B3,Hazard_Defense_Code!A1:C24,2,0)</f>
        <v>#N/A</v>
      </c>
      <c r="D3" s="61" t="e">
        <f>VLOOKUP(B3,Hazard_Defense_Code!A1:C24,3,0)</f>
        <v>#N/A</v>
      </c>
      <c r="E3" s="61" t="e">
        <f t="shared" ref="E3:E9" si="0">C3+D3-1</f>
        <v>#N/A</v>
      </c>
    </row>
    <row r="4" spans="1:5" ht="15.75" thickBot="1">
      <c r="A4" s="67" t="s">
        <v>167</v>
      </c>
      <c r="B4" s="65" t="s">
        <v>168</v>
      </c>
      <c r="C4" s="61" t="e">
        <f>VLOOKUP(B4,Hazard_Defense_Code!A1:C24,2,0)</f>
        <v>#N/A</v>
      </c>
      <c r="D4" s="61" t="e">
        <f>VLOOKUP(B4,Hazard_Defense_Code!A1:C24,3,0)</f>
        <v>#N/A</v>
      </c>
      <c r="E4" s="61" t="e">
        <f t="shared" si="0"/>
        <v>#N/A</v>
      </c>
    </row>
    <row r="5" spans="1:5" ht="15.75" thickBot="1">
      <c r="A5" s="67" t="s">
        <v>169</v>
      </c>
      <c r="B5" s="65" t="s">
        <v>170</v>
      </c>
      <c r="C5" s="61" t="e">
        <f>VLOOKUP(B5,Hazard_Defense_Code!A1:C24,2,0)</f>
        <v>#N/A</v>
      </c>
      <c r="D5" s="61" t="e">
        <f>VLOOKUP(B5,Hazard_Defense_Code!A1:C24,3,0)</f>
        <v>#N/A</v>
      </c>
      <c r="E5" s="61" t="e">
        <f t="shared" si="0"/>
        <v>#N/A</v>
      </c>
    </row>
    <row r="6" spans="1:5" ht="15.75" thickBot="1">
      <c r="A6" s="66" t="s">
        <v>171</v>
      </c>
      <c r="B6" s="65" t="s">
        <v>172</v>
      </c>
      <c r="C6" s="61" t="e">
        <f>VLOOKUP(B6,Hazard_Defense_Code!A1:C24,2,0)</f>
        <v>#N/A</v>
      </c>
      <c r="D6" s="61" t="e">
        <f>VLOOKUP(B6,Hazard_Defense_Code!A1:C24,3,0)</f>
        <v>#N/A</v>
      </c>
      <c r="E6" s="61" t="e">
        <f t="shared" si="0"/>
        <v>#N/A</v>
      </c>
    </row>
    <row r="7" spans="1:5" ht="14.25" hidden="1" customHeight="1" thickBot="1">
      <c r="A7" s="64"/>
      <c r="B7" s="65" t="s">
        <v>173</v>
      </c>
      <c r="C7" s="63" t="e">
        <f>MAX(C3:C6)</f>
        <v>#N/A</v>
      </c>
      <c r="D7" s="63" t="e">
        <f>MAX(D3:D6)</f>
        <v>#N/A</v>
      </c>
      <c r="E7" s="61" t="e">
        <f t="shared" si="0"/>
        <v>#N/A</v>
      </c>
    </row>
    <row r="8" spans="1:5" ht="30.75" hidden="1" customHeight="1" thickBot="1">
      <c r="B8" s="65" t="s">
        <v>173</v>
      </c>
      <c r="C8" s="62" t="e">
        <f>MEDIAN(C3:C6)</f>
        <v>#N/A</v>
      </c>
      <c r="D8" s="62" t="e">
        <f>MEDIAN(D3:D6)</f>
        <v>#N/A</v>
      </c>
      <c r="E8" s="61" t="e">
        <f t="shared" si="0"/>
        <v>#N/A</v>
      </c>
    </row>
    <row r="9" spans="1:5" ht="15.75" thickBot="1">
      <c r="A9" s="234" t="s">
        <v>174</v>
      </c>
      <c r="B9" s="235"/>
      <c r="C9" s="60" t="e">
        <f>AVERAGE(C7:C8)</f>
        <v>#N/A</v>
      </c>
      <c r="D9" s="59" t="e">
        <f>AVERAGE(D7:D8)</f>
        <v>#N/A</v>
      </c>
      <c r="E9" s="58" t="e">
        <f t="shared" si="0"/>
        <v>#N/A</v>
      </c>
    </row>
    <row r="10" spans="1:5" s="50" customFormat="1"/>
    <row r="11" spans="1:5" s="50" customFormat="1" ht="15.75" thickBot="1">
      <c r="A11" s="57" t="s">
        <v>175</v>
      </c>
    </row>
    <row r="12" spans="1:5" ht="34.5" customHeight="1" thickBot="1">
      <c r="A12" s="56" t="s">
        <v>165</v>
      </c>
      <c r="B12" s="53" t="s">
        <v>166</v>
      </c>
      <c r="C12" s="236" t="e">
        <f>VLOOKUP(B12,Hazard_Defense_Code!A1:E25,5,FALSE)</f>
        <v>#N/A</v>
      </c>
      <c r="D12" s="237"/>
      <c r="E12" s="50"/>
    </row>
    <row r="13" spans="1:5" ht="34.5" customHeight="1" thickBot="1">
      <c r="A13" s="55" t="s">
        <v>167</v>
      </c>
      <c r="B13" s="53" t="s">
        <v>170</v>
      </c>
      <c r="C13" s="236" t="e">
        <f>VLOOKUP(B13,Hazard_Defense_Code!A1:E24,5,FALSE)</f>
        <v>#N/A</v>
      </c>
      <c r="D13" s="237"/>
      <c r="E13" s="50"/>
    </row>
    <row r="14" spans="1:5" ht="34.5" customHeight="1" thickBot="1">
      <c r="A14" s="55" t="s">
        <v>169</v>
      </c>
      <c r="B14" s="53" t="s">
        <v>176</v>
      </c>
      <c r="C14" s="236" t="e">
        <f>VLOOKUP(B14,Hazard_Defense_Code!A1:E24,5,FALSE)</f>
        <v>#N/A</v>
      </c>
      <c r="D14" s="237"/>
      <c r="E14" s="50"/>
    </row>
    <row r="15" spans="1:5" ht="34.5" customHeight="1" thickBot="1">
      <c r="A15" s="54" t="s">
        <v>171</v>
      </c>
      <c r="B15" s="53" t="s">
        <v>177</v>
      </c>
      <c r="C15" s="236" t="e">
        <f>VLOOKUP(B15,Hazard_Defense_Code!A1:E24,5,FALSE)</f>
        <v>#N/A</v>
      </c>
      <c r="D15" s="237"/>
      <c r="E15" s="50"/>
    </row>
    <row r="16" spans="1:5">
      <c r="A16" s="50"/>
      <c r="B16" s="50"/>
      <c r="C16" s="50"/>
      <c r="D16" s="50"/>
      <c r="E16" s="50"/>
    </row>
    <row r="17" spans="1:5">
      <c r="A17" s="50"/>
      <c r="B17" s="50"/>
      <c r="C17" s="50"/>
      <c r="D17" s="50"/>
      <c r="E17" s="50"/>
    </row>
    <row r="18" spans="1:5">
      <c r="A18" s="50"/>
      <c r="B18" s="50"/>
      <c r="C18" s="50"/>
      <c r="D18" s="52"/>
      <c r="E18" s="51"/>
    </row>
    <row r="19" spans="1:5">
      <c r="A19" s="50"/>
      <c r="B19" s="50"/>
      <c r="C19" s="50"/>
      <c r="D19" s="50"/>
      <c r="E19" s="50"/>
    </row>
    <row r="20" spans="1:5">
      <c r="A20" s="50"/>
      <c r="B20" s="50"/>
      <c r="C20" s="50"/>
      <c r="D20" s="50"/>
      <c r="E20" s="50"/>
    </row>
    <row r="21" spans="1:5">
      <c r="A21" s="50"/>
      <c r="B21" s="50"/>
      <c r="C21" s="50"/>
      <c r="D21" s="50"/>
      <c r="E21" s="50"/>
    </row>
    <row r="22" spans="1:5">
      <c r="A22" s="50"/>
      <c r="B22" s="50"/>
      <c r="C22" s="50"/>
      <c r="D22" s="50"/>
      <c r="E22" s="50"/>
    </row>
    <row r="23" spans="1:5">
      <c r="A23" s="50"/>
      <c r="B23" s="50"/>
      <c r="C23" s="50"/>
      <c r="D23" s="50"/>
      <c r="E23" s="50"/>
    </row>
    <row r="24" spans="1:5">
      <c r="A24" s="50"/>
      <c r="B24" s="50"/>
      <c r="C24" s="50"/>
      <c r="D24" s="50"/>
      <c r="E24" s="50"/>
    </row>
    <row r="25" spans="1:5">
      <c r="A25" s="50"/>
      <c r="B25" s="50"/>
      <c r="C25" s="50"/>
      <c r="D25" s="50"/>
      <c r="E25" s="50"/>
    </row>
    <row r="26" spans="1:5">
      <c r="A26" s="50"/>
      <c r="B26" s="50"/>
      <c r="C26" s="50"/>
      <c r="D26" s="50"/>
      <c r="E26" s="50"/>
    </row>
    <row r="27" spans="1:5">
      <c r="A27" s="50"/>
      <c r="B27" s="50"/>
      <c r="C27" s="50"/>
      <c r="D27" s="50"/>
      <c r="E27" s="50"/>
    </row>
    <row r="28" spans="1:5">
      <c r="A28" s="50"/>
      <c r="B28" s="50"/>
      <c r="C28" s="50"/>
      <c r="D28" s="50"/>
      <c r="E28" s="50"/>
    </row>
    <row r="29" spans="1:5">
      <c r="A29" s="50"/>
      <c r="B29" s="50"/>
      <c r="C29" s="50"/>
      <c r="D29" s="50"/>
      <c r="E29" s="50"/>
    </row>
    <row r="30" spans="1:5">
      <c r="A30" s="50"/>
      <c r="B30" s="50"/>
      <c r="C30" s="50"/>
      <c r="D30" s="50"/>
      <c r="E30" s="50"/>
    </row>
    <row r="31" spans="1:5">
      <c r="A31" s="50"/>
      <c r="B31" s="50"/>
      <c r="C31" s="50"/>
      <c r="D31" s="50"/>
      <c r="E31" s="50"/>
    </row>
    <row r="32" spans="1:5">
      <c r="A32" s="50"/>
      <c r="B32" s="50"/>
      <c r="C32" s="50"/>
      <c r="D32" s="50"/>
      <c r="E32" s="50"/>
    </row>
    <row r="33" spans="1:5">
      <c r="A33" s="50"/>
      <c r="B33" s="50"/>
      <c r="C33" s="50"/>
      <c r="D33" s="50"/>
      <c r="E33" s="50"/>
    </row>
    <row r="34" spans="1:5">
      <c r="A34" s="50"/>
      <c r="B34" s="50"/>
      <c r="C34" s="50"/>
      <c r="D34" s="50"/>
      <c r="E34" s="50"/>
    </row>
    <row r="35" spans="1:5">
      <c r="A35" s="50"/>
      <c r="B35" s="50"/>
      <c r="C35" s="50"/>
      <c r="D35" s="50"/>
      <c r="E35" s="50"/>
    </row>
  </sheetData>
  <mergeCells count="5">
    <mergeCell ref="A9:B9"/>
    <mergeCell ref="C12:D12"/>
    <mergeCell ref="C13:D13"/>
    <mergeCell ref="C14:D14"/>
    <mergeCell ref="C15:D15"/>
  </mergeCells>
  <conditionalFormatting sqref="E3:E9">
    <cfRule type="cellIs" dxfId="5" priority="1" stopIfTrue="1" operator="between">
      <formula>3.1</formula>
      <formula>5.9</formula>
    </cfRule>
    <cfRule type="cellIs" dxfId="4" priority="2" operator="greaterThan">
      <formula>5</formula>
    </cfRule>
    <cfRule type="cellIs" dxfId="3"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Hazard_Defense_Code!$A$2:$A$20</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82" customWidth="1"/>
    <col min="14" max="16384" width="8" style="82" hidden="1"/>
  </cols>
  <sheetData>
    <row r="1" spans="1:13">
      <c r="A1" s="83"/>
      <c r="B1" s="83"/>
      <c r="C1" s="83"/>
      <c r="D1" s="83"/>
      <c r="E1" s="83"/>
      <c r="F1" s="83"/>
      <c r="G1" s="83"/>
      <c r="H1" s="83"/>
      <c r="I1" s="83"/>
      <c r="J1" s="83"/>
      <c r="K1" s="83"/>
      <c r="L1" s="83"/>
      <c r="M1" s="83"/>
    </row>
    <row r="2" spans="1:13" ht="21" customHeight="1">
      <c r="A2" s="83"/>
      <c r="B2" s="84" t="s">
        <v>178</v>
      </c>
      <c r="C2" s="83"/>
      <c r="D2" s="83"/>
      <c r="E2" s="83"/>
      <c r="F2" s="83"/>
      <c r="G2" s="83"/>
      <c r="H2" s="83"/>
      <c r="I2" s="83"/>
      <c r="J2" s="83"/>
      <c r="K2" s="83"/>
      <c r="L2" s="83"/>
      <c r="M2" s="83"/>
    </row>
    <row r="3" spans="1:13" ht="12.75" customHeight="1">
      <c r="A3" s="83"/>
      <c r="B3" s="238" t="s">
        <v>179</v>
      </c>
      <c r="C3" s="238"/>
      <c r="D3" s="238"/>
      <c r="E3" s="238"/>
      <c r="F3" s="238"/>
      <c r="G3" s="238"/>
      <c r="H3" s="238"/>
      <c r="I3" s="238"/>
      <c r="J3" s="238"/>
      <c r="K3" s="238"/>
      <c r="L3" s="83"/>
      <c r="M3" s="83"/>
    </row>
    <row r="4" spans="1:13">
      <c r="A4" s="83"/>
      <c r="B4" s="238"/>
      <c r="C4" s="238"/>
      <c r="D4" s="238"/>
      <c r="E4" s="238"/>
      <c r="F4" s="238"/>
      <c r="G4" s="238"/>
      <c r="H4" s="238"/>
      <c r="I4" s="238"/>
      <c r="J4" s="238"/>
      <c r="K4" s="238"/>
      <c r="L4" s="83"/>
      <c r="M4" s="83"/>
    </row>
    <row r="5" spans="1:13">
      <c r="A5" s="83"/>
      <c r="B5" s="238"/>
      <c r="C5" s="238"/>
      <c r="D5" s="238"/>
      <c r="E5" s="238"/>
      <c r="F5" s="238"/>
      <c r="G5" s="238"/>
      <c r="H5" s="238"/>
      <c r="I5" s="238"/>
      <c r="J5" s="238"/>
      <c r="K5" s="238"/>
      <c r="L5" s="83"/>
      <c r="M5" s="83"/>
    </row>
    <row r="6" spans="1:13">
      <c r="A6" s="83"/>
      <c r="B6" s="238"/>
      <c r="C6" s="238"/>
      <c r="D6" s="238"/>
      <c r="E6" s="238"/>
      <c r="F6" s="238"/>
      <c r="G6" s="238"/>
      <c r="H6" s="238"/>
      <c r="I6" s="238"/>
      <c r="J6" s="238"/>
      <c r="K6" s="238"/>
      <c r="L6" s="83"/>
      <c r="M6" s="83"/>
    </row>
    <row r="7" spans="1:13">
      <c r="A7" s="83"/>
      <c r="B7" s="238"/>
      <c r="C7" s="238"/>
      <c r="D7" s="238"/>
      <c r="E7" s="238"/>
      <c r="F7" s="238"/>
      <c r="G7" s="238"/>
      <c r="H7" s="238"/>
      <c r="I7" s="238"/>
      <c r="J7" s="238"/>
      <c r="K7" s="238"/>
      <c r="L7" s="83"/>
      <c r="M7" s="83"/>
    </row>
    <row r="8" spans="1:13">
      <c r="A8" s="83"/>
      <c r="B8" s="238"/>
      <c r="C8" s="238"/>
      <c r="D8" s="238"/>
      <c r="E8" s="238"/>
      <c r="F8" s="238"/>
      <c r="G8" s="238"/>
      <c r="H8" s="238"/>
      <c r="I8" s="238"/>
      <c r="J8" s="238"/>
      <c r="K8" s="238"/>
      <c r="L8" s="83"/>
      <c r="M8" s="83"/>
    </row>
    <row r="9" spans="1:13">
      <c r="A9" s="83"/>
      <c r="B9" s="238"/>
      <c r="C9" s="238"/>
      <c r="D9" s="238"/>
      <c r="E9" s="238"/>
      <c r="F9" s="238"/>
      <c r="G9" s="238"/>
      <c r="H9" s="238"/>
      <c r="I9" s="238"/>
      <c r="J9" s="238"/>
      <c r="K9" s="238"/>
      <c r="L9" s="83"/>
      <c r="M9" s="83"/>
    </row>
    <row r="10" spans="1:13">
      <c r="A10" s="83"/>
      <c r="B10" s="238"/>
      <c r="C10" s="238"/>
      <c r="D10" s="238"/>
      <c r="E10" s="238"/>
      <c r="F10" s="238"/>
      <c r="G10" s="238"/>
      <c r="H10" s="238"/>
      <c r="I10" s="238"/>
      <c r="J10" s="238"/>
      <c r="K10" s="238"/>
      <c r="L10" s="83"/>
      <c r="M10" s="83"/>
    </row>
    <row r="11" spans="1:13">
      <c r="A11" s="83"/>
      <c r="B11" s="83"/>
      <c r="C11" s="83"/>
      <c r="D11" s="83"/>
      <c r="E11" s="83"/>
      <c r="F11" s="83"/>
      <c r="G11" s="83"/>
      <c r="H11" s="83"/>
      <c r="I11" s="83"/>
      <c r="J11" s="83"/>
      <c r="K11" s="83"/>
      <c r="L11" s="83"/>
      <c r="M11" s="83"/>
    </row>
    <row r="12" spans="1:13">
      <c r="A12" s="83"/>
      <c r="B12" s="83"/>
      <c r="C12" s="83"/>
      <c r="D12" s="83"/>
      <c r="E12" s="83"/>
      <c r="F12" s="83"/>
      <c r="G12" s="83"/>
      <c r="H12" s="83"/>
      <c r="I12" s="83"/>
      <c r="J12" s="83"/>
      <c r="K12" s="83"/>
      <c r="L12" s="83"/>
      <c r="M12" s="83"/>
    </row>
    <row r="13" spans="1:13">
      <c r="A13" s="83"/>
      <c r="B13" s="83"/>
      <c r="C13" s="83"/>
      <c r="D13" s="83"/>
      <c r="E13" s="83"/>
      <c r="F13" s="83"/>
      <c r="G13" s="83"/>
      <c r="H13" s="83"/>
      <c r="I13" s="83"/>
      <c r="J13" s="83"/>
      <c r="K13" s="83"/>
      <c r="L13" s="83"/>
      <c r="M13" s="8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72"/>
  <sheetViews>
    <sheetView topLeftCell="A8" workbookViewId="0">
      <selection activeCell="C35" sqref="C35"/>
    </sheetView>
  </sheetViews>
  <sheetFormatPr defaultColWidth="9.140625" defaultRowHeight="15"/>
  <cols>
    <col min="1" max="1" width="33.28515625" style="85" customWidth="1"/>
    <col min="2" max="4" width="31.28515625" style="85" customWidth="1"/>
    <col min="5" max="5" width="71.42578125" style="86" customWidth="1"/>
    <col min="6" max="9" width="9.140625" style="85"/>
    <col min="10" max="10" width="29.140625" style="85" customWidth="1"/>
    <col min="11" max="11" width="39.42578125" style="85" customWidth="1"/>
    <col min="12" max="14" width="53.28515625" style="85" customWidth="1"/>
    <col min="15" max="15" width="38.7109375" style="85" customWidth="1"/>
    <col min="16" max="16" width="42.85546875" style="85" customWidth="1"/>
    <col min="17" max="17" width="34.5703125" style="85" customWidth="1"/>
    <col min="18" max="16384" width="9.140625" style="85"/>
  </cols>
  <sheetData>
    <row r="1" spans="1:17">
      <c r="A1" s="92" t="s">
        <v>180</v>
      </c>
      <c r="B1" s="88" t="s">
        <v>14</v>
      </c>
      <c r="C1" s="88" t="s">
        <v>15</v>
      </c>
      <c r="D1" s="88" t="s">
        <v>181</v>
      </c>
      <c r="E1" s="87" t="s">
        <v>182</v>
      </c>
      <c r="F1" s="90">
        <v>5</v>
      </c>
      <c r="J1" s="91"/>
      <c r="K1" s="91"/>
      <c r="L1" s="91"/>
      <c r="M1" s="91"/>
      <c r="N1" s="91" t="s">
        <v>183</v>
      </c>
      <c r="O1" s="91" t="s">
        <v>184</v>
      </c>
      <c r="P1" s="91" t="s">
        <v>185</v>
      </c>
      <c r="Q1" s="91" t="s">
        <v>186</v>
      </c>
    </row>
    <row r="2" spans="1:17">
      <c r="A2" s="109" t="s">
        <v>173</v>
      </c>
      <c r="B2" s="88">
        <v>1</v>
      </c>
      <c r="C2" s="88">
        <v>0</v>
      </c>
      <c r="D2" s="88">
        <f t="shared" ref="D2:D21" si="0">B2+C2-1</f>
        <v>0</v>
      </c>
      <c r="E2" s="87"/>
      <c r="F2" s="90">
        <v>4</v>
      </c>
    </row>
    <row r="3" spans="1:17">
      <c r="A3" s="88" t="s">
        <v>187</v>
      </c>
      <c r="B3" s="88"/>
      <c r="C3" s="88"/>
      <c r="D3" s="88">
        <f t="shared" si="0"/>
        <v>-1</v>
      </c>
      <c r="E3" s="87"/>
      <c r="F3" s="90">
        <v>3</v>
      </c>
    </row>
    <row r="4" spans="1:17">
      <c r="A4" s="88" t="s">
        <v>188</v>
      </c>
      <c r="B4" s="88"/>
      <c r="C4" s="88"/>
      <c r="D4" s="88">
        <f t="shared" si="0"/>
        <v>-1</v>
      </c>
      <c r="E4" s="87"/>
      <c r="F4" s="90">
        <v>2</v>
      </c>
    </row>
    <row r="5" spans="1:17">
      <c r="A5" s="88" t="s">
        <v>189</v>
      </c>
      <c r="B5" s="88"/>
      <c r="C5" s="88"/>
      <c r="D5" s="88">
        <f t="shared" si="0"/>
        <v>-1</v>
      </c>
      <c r="E5" s="87"/>
      <c r="F5" s="90">
        <v>1</v>
      </c>
    </row>
    <row r="6" spans="1:17">
      <c r="A6" s="88" t="s">
        <v>190</v>
      </c>
      <c r="B6" s="88"/>
      <c r="C6" s="88"/>
      <c r="D6" s="88">
        <f t="shared" si="0"/>
        <v>-1</v>
      </c>
      <c r="E6" s="87"/>
      <c r="F6" s="82"/>
    </row>
    <row r="7" spans="1:17">
      <c r="A7" s="89" t="s">
        <v>191</v>
      </c>
      <c r="B7" s="88"/>
      <c r="C7" s="88"/>
      <c r="D7" s="88">
        <f t="shared" si="0"/>
        <v>-1</v>
      </c>
      <c r="E7" s="87"/>
      <c r="F7" s="82"/>
    </row>
    <row r="8" spans="1:17">
      <c r="A8" s="88" t="s">
        <v>192</v>
      </c>
      <c r="B8" s="88"/>
      <c r="C8" s="88"/>
      <c r="D8" s="88">
        <f t="shared" si="0"/>
        <v>-1</v>
      </c>
      <c r="E8" s="87"/>
      <c r="F8" s="82"/>
    </row>
    <row r="9" spans="1:17">
      <c r="A9" s="88" t="s">
        <v>193</v>
      </c>
      <c r="B9" s="88"/>
      <c r="C9" s="88"/>
      <c r="D9" s="88">
        <f t="shared" si="0"/>
        <v>-1</v>
      </c>
      <c r="E9" s="87"/>
      <c r="F9" s="82"/>
    </row>
    <row r="10" spans="1:17">
      <c r="A10" s="88" t="s">
        <v>194</v>
      </c>
      <c r="B10" s="88"/>
      <c r="C10" s="88"/>
      <c r="D10" s="88">
        <f t="shared" si="0"/>
        <v>-1</v>
      </c>
      <c r="E10" s="87"/>
      <c r="F10" s="82"/>
    </row>
    <row r="11" spans="1:17">
      <c r="A11" s="88" t="s">
        <v>195</v>
      </c>
      <c r="B11" s="88"/>
      <c r="C11" s="88"/>
      <c r="D11" s="88">
        <f t="shared" si="0"/>
        <v>-1</v>
      </c>
      <c r="E11" s="87"/>
      <c r="F11" s="82"/>
    </row>
    <row r="12" spans="1:17" ht="15" customHeight="1">
      <c r="A12" s="88" t="s">
        <v>196</v>
      </c>
      <c r="B12" s="88"/>
      <c r="C12" s="88"/>
      <c r="D12" s="88">
        <f t="shared" si="0"/>
        <v>-1</v>
      </c>
      <c r="E12" s="87"/>
      <c r="F12" s="82"/>
    </row>
    <row r="13" spans="1:17" ht="15" customHeight="1">
      <c r="A13" s="88" t="s">
        <v>58</v>
      </c>
      <c r="B13" s="88"/>
      <c r="C13" s="88"/>
      <c r="D13" s="88">
        <f t="shared" si="0"/>
        <v>-1</v>
      </c>
      <c r="E13" s="87"/>
      <c r="F13" s="82"/>
    </row>
    <row r="14" spans="1:17">
      <c r="A14" s="88" t="s">
        <v>197</v>
      </c>
      <c r="B14" s="88"/>
      <c r="C14" s="88"/>
      <c r="D14" s="88">
        <f t="shared" si="0"/>
        <v>-1</v>
      </c>
      <c r="E14" s="87"/>
      <c r="F14" s="82"/>
    </row>
    <row r="15" spans="1:17">
      <c r="A15" s="88" t="s">
        <v>198</v>
      </c>
      <c r="B15" s="88"/>
      <c r="C15" s="88"/>
      <c r="D15" s="88">
        <f t="shared" si="0"/>
        <v>-1</v>
      </c>
      <c r="E15" s="87"/>
      <c r="F15" s="82"/>
    </row>
    <row r="16" spans="1:17">
      <c r="A16" s="88" t="s">
        <v>199</v>
      </c>
      <c r="B16" s="88"/>
      <c r="C16" s="88"/>
      <c r="D16" s="88">
        <f t="shared" si="0"/>
        <v>-1</v>
      </c>
      <c r="E16" s="87"/>
      <c r="F16" s="82"/>
    </row>
    <row r="17" spans="1:6">
      <c r="A17" s="88" t="s">
        <v>200</v>
      </c>
      <c r="B17" s="88"/>
      <c r="C17" s="88"/>
      <c r="D17" s="88">
        <f t="shared" si="0"/>
        <v>-1</v>
      </c>
      <c r="E17" s="87"/>
      <c r="F17" s="82"/>
    </row>
    <row r="18" spans="1:6">
      <c r="A18" s="88" t="s">
        <v>201</v>
      </c>
      <c r="B18" s="88"/>
      <c r="C18" s="88"/>
      <c r="D18" s="88">
        <f t="shared" si="0"/>
        <v>-1</v>
      </c>
      <c r="E18" s="87"/>
      <c r="F18" s="82"/>
    </row>
    <row r="19" spans="1:6" ht="17.25" customHeight="1">
      <c r="A19" s="88" t="s">
        <v>202</v>
      </c>
      <c r="B19" s="88"/>
      <c r="C19" s="88"/>
      <c r="D19" s="88">
        <f t="shared" si="0"/>
        <v>-1</v>
      </c>
      <c r="E19" s="87"/>
      <c r="F19" s="82"/>
    </row>
    <row r="20" spans="1:6">
      <c r="A20" s="88" t="s">
        <v>203</v>
      </c>
      <c r="B20" s="88"/>
      <c r="C20" s="88"/>
      <c r="D20" s="88">
        <f t="shared" si="0"/>
        <v>-1</v>
      </c>
      <c r="E20" s="87"/>
      <c r="F20" s="82"/>
    </row>
    <row r="21" spans="1:6">
      <c r="A21" s="88" t="s">
        <v>204</v>
      </c>
      <c r="B21" s="89"/>
      <c r="C21" s="89"/>
      <c r="D21" s="88">
        <f t="shared" si="0"/>
        <v>-1</v>
      </c>
      <c r="E21" s="102"/>
      <c r="F21" s="82"/>
    </row>
    <row r="22" spans="1:6">
      <c r="F22" s="82"/>
    </row>
    <row r="23" spans="1:6">
      <c r="F23" s="82"/>
    </row>
    <row r="24" spans="1:6">
      <c r="F24" s="82"/>
    </row>
    <row r="25" spans="1:6">
      <c r="A25" s="108" t="s">
        <v>205</v>
      </c>
      <c r="F25" s="82"/>
    </row>
    <row r="26" spans="1:6">
      <c r="A26" s="89" t="s">
        <v>206</v>
      </c>
      <c r="F26" s="82"/>
    </row>
    <row r="27" spans="1:6">
      <c r="A27" s="89" t="s">
        <v>207</v>
      </c>
      <c r="F27" s="82"/>
    </row>
    <row r="28" spans="1:6">
      <c r="A28" s="89" t="s">
        <v>208</v>
      </c>
      <c r="F28" s="82"/>
    </row>
    <row r="29" spans="1:6">
      <c r="A29" s="89" t="s">
        <v>209</v>
      </c>
      <c r="F29" s="82"/>
    </row>
    <row r="30" spans="1:6">
      <c r="A30" s="89" t="s">
        <v>210</v>
      </c>
      <c r="F30" s="82"/>
    </row>
    <row r="31" spans="1:6">
      <c r="A31" s="89" t="s">
        <v>211</v>
      </c>
      <c r="F31" s="82"/>
    </row>
    <row r="32" spans="1:6">
      <c r="A32" s="89" t="s">
        <v>212</v>
      </c>
    </row>
    <row r="33" spans="1:5">
      <c r="A33" s="89" t="s">
        <v>213</v>
      </c>
    </row>
    <row r="34" spans="1:5">
      <c r="A34" s="89" t="s">
        <v>214</v>
      </c>
    </row>
    <row r="35" spans="1:5">
      <c r="A35" s="89" t="s">
        <v>215</v>
      </c>
    </row>
    <row r="36" spans="1:5">
      <c r="A36" s="89" t="s">
        <v>216</v>
      </c>
      <c r="E36" s="85"/>
    </row>
    <row r="37" spans="1:5">
      <c r="A37" s="89" t="s">
        <v>217</v>
      </c>
      <c r="E37" s="85"/>
    </row>
    <row r="38" spans="1:5">
      <c r="A38" s="89" t="s">
        <v>218</v>
      </c>
      <c r="E38" s="85"/>
    </row>
    <row r="39" spans="1:5">
      <c r="A39" s="89" t="s">
        <v>69</v>
      </c>
      <c r="E39" s="85"/>
    </row>
    <row r="40" spans="1:5">
      <c r="A40" s="89" t="s">
        <v>219</v>
      </c>
      <c r="E40" s="85"/>
    </row>
    <row r="41" spans="1:5">
      <c r="A41" s="89" t="s">
        <v>220</v>
      </c>
      <c r="E41" s="85"/>
    </row>
    <row r="42" spans="1:5" ht="14.25" customHeight="1">
      <c r="A42" s="89" t="s">
        <v>221</v>
      </c>
      <c r="E42" s="85"/>
    </row>
    <row r="43" spans="1:5" ht="14.25" customHeight="1">
      <c r="A43" s="89" t="s">
        <v>222</v>
      </c>
      <c r="E43" s="85"/>
    </row>
    <row r="44" spans="1:5" ht="14.25" customHeight="1">
      <c r="A44" s="89" t="s">
        <v>223</v>
      </c>
      <c r="E44" s="85"/>
    </row>
    <row r="45" spans="1:5">
      <c r="A45" s="89" t="s">
        <v>224</v>
      </c>
      <c r="E45" s="85"/>
    </row>
    <row r="46" spans="1:5">
      <c r="A46" s="89" t="s">
        <v>225</v>
      </c>
      <c r="E46" s="85"/>
    </row>
    <row r="47" spans="1:5">
      <c r="A47" s="89" t="s">
        <v>226</v>
      </c>
      <c r="E47" s="85"/>
    </row>
    <row r="48" spans="1:5">
      <c r="A48" s="89" t="s">
        <v>227</v>
      </c>
      <c r="E48" s="85"/>
    </row>
    <row r="49" spans="1:5">
      <c r="A49" s="89" t="s">
        <v>228</v>
      </c>
      <c r="E49" s="85"/>
    </row>
    <row r="50" spans="1:5">
      <c r="A50" s="89" t="s">
        <v>229</v>
      </c>
      <c r="E50" s="85"/>
    </row>
    <row r="51" spans="1:5">
      <c r="A51" s="89" t="s">
        <v>230</v>
      </c>
      <c r="E51" s="85"/>
    </row>
    <row r="52" spans="1:5">
      <c r="A52" s="89" t="s">
        <v>231</v>
      </c>
      <c r="E52" s="85"/>
    </row>
    <row r="53" spans="1:5">
      <c r="A53" s="89" t="s">
        <v>232</v>
      </c>
      <c r="E53" s="85"/>
    </row>
    <row r="54" spans="1:5">
      <c r="A54" s="89" t="s">
        <v>233</v>
      </c>
      <c r="E54" s="85"/>
    </row>
    <row r="55" spans="1:5">
      <c r="A55" s="89" t="s">
        <v>234</v>
      </c>
      <c r="E55" s="85"/>
    </row>
    <row r="56" spans="1:5">
      <c r="A56" s="89" t="s">
        <v>235</v>
      </c>
      <c r="E56" s="85"/>
    </row>
    <row r="57" spans="1:5">
      <c r="A57" s="89" t="s">
        <v>236</v>
      </c>
      <c r="E57" s="85"/>
    </row>
    <row r="58" spans="1:5">
      <c r="A58" s="89" t="s">
        <v>237</v>
      </c>
      <c r="E58" s="85"/>
    </row>
    <row r="59" spans="1:5">
      <c r="A59" s="89" t="s">
        <v>238</v>
      </c>
      <c r="E59" s="85"/>
    </row>
    <row r="60" spans="1:5">
      <c r="A60" s="89" t="s">
        <v>239</v>
      </c>
      <c r="E60" s="85"/>
    </row>
    <row r="61" spans="1:5">
      <c r="A61" s="89" t="s">
        <v>240</v>
      </c>
      <c r="E61" s="85"/>
    </row>
    <row r="62" spans="1:5">
      <c r="A62" s="89" t="s">
        <v>241</v>
      </c>
      <c r="E62" s="85"/>
    </row>
    <row r="63" spans="1:5">
      <c r="A63" s="89" t="s">
        <v>242</v>
      </c>
      <c r="E63" s="85"/>
    </row>
    <row r="64" spans="1:5">
      <c r="A64" s="89" t="s">
        <v>243</v>
      </c>
      <c r="E64" s="85"/>
    </row>
    <row r="65" spans="1:5">
      <c r="A65" s="89" t="s">
        <v>244</v>
      </c>
      <c r="E65" s="85"/>
    </row>
    <row r="66" spans="1:5">
      <c r="A66" s="89" t="s">
        <v>245</v>
      </c>
      <c r="E66" s="85"/>
    </row>
    <row r="67" spans="1:5">
      <c r="A67" s="89" t="s">
        <v>246</v>
      </c>
      <c r="E67" s="85"/>
    </row>
    <row r="68" spans="1:5">
      <c r="A68" s="89" t="s">
        <v>247</v>
      </c>
      <c r="E68" s="85"/>
    </row>
    <row r="69" spans="1:5">
      <c r="A69" s="89" t="s">
        <v>248</v>
      </c>
      <c r="E69" s="85"/>
    </row>
    <row r="70" spans="1:5">
      <c r="A70" s="89" t="s">
        <v>249</v>
      </c>
      <c r="E70" s="85"/>
    </row>
    <row r="71" spans="1:5">
      <c r="A71" s="89" t="s">
        <v>250</v>
      </c>
      <c r="E71" s="85"/>
    </row>
    <row r="72" spans="1:5">
      <c r="A72" s="89" t="s">
        <v>251</v>
      </c>
      <c r="E72" s="85"/>
    </row>
  </sheetData>
  <autoFilter ref="A1:F36" xr:uid="{E19FE469-8306-465F-BB43-01C83C1508EB}"/>
  <sortState xmlns:xlrd2="http://schemas.microsoft.com/office/spreadsheetml/2017/richdata2" ref="A26:A72">
    <sortCondition ref="A26"/>
  </sortState>
  <conditionalFormatting sqref="D2:D21">
    <cfRule type="cellIs" dxfId="2" priority="4" operator="between">
      <formula>3.41</formula>
      <formula>5.99</formula>
    </cfRule>
    <cfRule type="cellIs" dxfId="1" priority="5" operator="lessThanOrEqual">
      <formula>3.4</formula>
    </cfRule>
    <cfRule type="cellIs" dxfId="0" priority="6" operator="greaterThanOrEqual">
      <formula>6</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Bluhm, Joyce (FieldCore)</DisplayName>
        <AccountId>72</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3648649-8AF9-4E50-B620-1F92663723DC}"/>
</file>

<file path=customXml/itemProps2.xml><?xml version="1.0" encoding="utf-8"?>
<ds:datastoreItem xmlns:ds="http://schemas.openxmlformats.org/officeDocument/2006/customXml" ds:itemID="{B2394F04-5BC1-48F2-BE2F-EB657668B84C}"/>
</file>

<file path=customXml/itemProps3.xml><?xml version="1.0" encoding="utf-8"?>
<ds:datastoreItem xmlns:ds="http://schemas.openxmlformats.org/officeDocument/2006/customXml" ds:itemID="{F112225D-90EC-4A2F-9726-DE24C10E203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EHS Global Procedure</dc:title>
  <dc:subject/>
  <dc:creator>Edwards, Mark (FieldCore)</dc:creator>
  <cp:keywords/>
  <dc:description/>
  <cp:lastModifiedBy>Conway, Ross (FieldCore)</cp:lastModifiedBy>
  <cp:revision/>
  <dcterms:created xsi:type="dcterms:W3CDTF">2020-02-07T11:44:21Z</dcterms:created>
  <dcterms:modified xsi:type="dcterms:W3CDTF">2023-08-02T10:01:32Z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